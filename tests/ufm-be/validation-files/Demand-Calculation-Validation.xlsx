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0g0fhn/Documents/GitHub/ibg-testscripts-playwright/tests/ufm-be/validation-files/"/>
    </mc:Choice>
  </mc:AlternateContent>
  <xr:revisionPtr revIDLastSave="0" documentId="13_ncr:1_{9C2D4859-0BAC-C84F-8A96-4F69DC303B17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Node Validation" sheetId="1" r:id="rId1"/>
    <sheet name="Nodes" sheetId="2" r:id="rId2"/>
  </sheets>
  <definedNames>
    <definedName name="_xlnm._FilterDatabase" localSheetId="0" hidden="1">'Node Validation'!A1:M28</definedName>
    <definedName name="_xlnm._FilterDatabase" localSheetId="1" hidden="1">Nodes!$A$1:$T$2602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H28" i="1" s="1"/>
  <c r="F26" i="1"/>
  <c r="H26" i="1" s="1"/>
  <c r="F23" i="1"/>
  <c r="H23" i="1" s="1"/>
  <c r="F22" i="1"/>
  <c r="H22" i="1" s="1"/>
  <c r="F19" i="1"/>
  <c r="F21" i="1" s="1"/>
  <c r="H21" i="1" s="1"/>
  <c r="F18" i="1"/>
  <c r="H18" i="1" s="1"/>
  <c r="F17" i="1"/>
  <c r="H17" i="1" s="1"/>
  <c r="F16" i="1"/>
  <c r="H16" i="1" s="1"/>
  <c r="F15" i="1"/>
  <c r="H15" i="1" s="1"/>
  <c r="F14" i="1"/>
  <c r="F13" i="1" s="1"/>
  <c r="H13" i="1" s="1"/>
  <c r="F12" i="1"/>
  <c r="H12" i="1" s="1"/>
  <c r="F8" i="1"/>
  <c r="H8" i="1" s="1"/>
  <c r="F7" i="1"/>
  <c r="H7" i="1" s="1"/>
  <c r="F6" i="1"/>
  <c r="H6" i="1" s="1"/>
  <c r="F4" i="1"/>
  <c r="F11" i="1" s="1"/>
  <c r="F3" i="1"/>
  <c r="H3" i="1" s="1"/>
  <c r="H11" i="1" l="1"/>
  <c r="F10" i="1"/>
  <c r="H10" i="1" s="1"/>
  <c r="H4" i="1"/>
  <c r="H14" i="1"/>
  <c r="H19" i="1"/>
  <c r="F20" i="1"/>
  <c r="H20" i="1" s="1"/>
  <c r="F25" i="1"/>
  <c r="F5" i="1"/>
  <c r="F27" i="1" l="1"/>
  <c r="H27" i="1" s="1"/>
  <c r="H25" i="1"/>
  <c r="F24" i="1"/>
  <c r="H24" i="1" s="1"/>
  <c r="F2" i="1"/>
  <c r="H5" i="1"/>
  <c r="H2" i="1" l="1"/>
  <c r="F9" i="1"/>
  <c r="H9" i="1" s="1"/>
</calcChain>
</file>

<file path=xl/sharedStrings.xml><?xml version="1.0" encoding="utf-8"?>
<sst xmlns="http://schemas.openxmlformats.org/spreadsheetml/2006/main" count="28401" uniqueCount="6593">
  <si>
    <t>NodeId</t>
  </si>
  <si>
    <t>NodeName</t>
  </si>
  <si>
    <t>NodeVarName</t>
  </si>
  <si>
    <t>Calculation</t>
  </si>
  <si>
    <t>Expected</t>
  </si>
  <si>
    <t>ActualValue</t>
  </si>
  <si>
    <t>Difference</t>
  </si>
  <si>
    <t>Lv1</t>
  </si>
  <si>
    <t>Lv2</t>
  </si>
  <si>
    <t>Lv3</t>
  </si>
  <si>
    <t>Lv4</t>
  </si>
  <si>
    <t>0020_UFM</t>
  </si>
  <si>
    <t>GMV + Services</t>
  </si>
  <si>
    <t>gMVplusServices</t>
  </si>
  <si>
    <t>Calculated</t>
  </si>
  <si>
    <t>ngrossGMVtotal + nservices</t>
  </si>
  <si>
    <t>100</t>
  </si>
  <si>
    <t>2027_MERCHSALES</t>
  </si>
  <si>
    <t>nGross GMV (total)</t>
  </si>
  <si>
    <t>ngrossGMVtotal</t>
  </si>
  <si>
    <t>grossGMV</t>
  </si>
  <si>
    <t>200</t>
  </si>
  <si>
    <t>2001_MERCHSALES</t>
  </si>
  <si>
    <t>Gross GMV</t>
  </si>
  <si>
    <t>Input</t>
  </si>
  <si>
    <t>2029_MERCHSALES</t>
  </si>
  <si>
    <t>nServices</t>
  </si>
  <si>
    <t>nservices</t>
  </si>
  <si>
    <t>financialServicesIncome + otherMerchandServiceIncome + otherservicesincome</t>
  </si>
  <si>
    <t>103_OTHSERV</t>
  </si>
  <si>
    <t>Other Services Income</t>
  </si>
  <si>
    <t>otherservicesincome</t>
  </si>
  <si>
    <t>103_FINSERV</t>
  </si>
  <si>
    <t>Financial Services Income</t>
  </si>
  <si>
    <t>financialServicesIncome</t>
  </si>
  <si>
    <t>input</t>
  </si>
  <si>
    <t>103_OMAS</t>
  </si>
  <si>
    <t>Other Merch and Service Income</t>
  </si>
  <si>
    <t>otherMerchandServiceIncome</t>
  </si>
  <si>
    <t>0022_UFM</t>
  </si>
  <si>
    <t>GMV + Services less Returns</t>
  </si>
  <si>
    <t>gMVplusServiceslessReturns</t>
  </si>
  <si>
    <t>gMVplusServices + returnstotal</t>
  </si>
  <si>
    <t>0023_UFM</t>
  </si>
  <si>
    <t>Returns (total)</t>
  </si>
  <si>
    <t>returnstotal</t>
  </si>
  <si>
    <t>(-instoreReturnsnewNGnode + eCommReturns + discountstoSalesgroupby + tempplugforreturns)</t>
  </si>
  <si>
    <t>2011_MERCHSALES</t>
  </si>
  <si>
    <t>Instore Returns (new NG node)</t>
  </si>
  <si>
    <t>instoreReturnsnewNGnode</t>
  </si>
  <si>
    <t>(grossGMV*instoreReturnsPctofGrossGMV)</t>
  </si>
  <si>
    <t>2003_MERCHSALES</t>
  </si>
  <si>
    <t>Instore Returns % of Gross GMV</t>
  </si>
  <si>
    <t>instoreReturnsPctofGrossGMV</t>
  </si>
  <si>
    <t>2017_MERCHSALES</t>
  </si>
  <si>
    <t>eComm Returns</t>
  </si>
  <si>
    <t>eCommReturns</t>
  </si>
  <si>
    <t>refunds + creditCardChargebacks - ecomreturnsfromomni</t>
  </si>
  <si>
    <t>4101090_UFM</t>
  </si>
  <si>
    <t>Refunds</t>
  </si>
  <si>
    <t>refunds</t>
  </si>
  <si>
    <t>calculated</t>
  </si>
  <si>
    <t>(refundsPlug + refundsCalculated)</t>
  </si>
  <si>
    <t>101_CHRGEBCKS</t>
  </si>
  <si>
    <t>Credit Card Chargebacks</t>
  </si>
  <si>
    <t>creditCardChargebacks</t>
  </si>
  <si>
    <t>2002_MERCHSALES</t>
  </si>
  <si>
    <t>ECom returns from Omni</t>
  </si>
  <si>
    <t>ecomreturnsfromomni</t>
  </si>
  <si>
    <t>4106_UFM</t>
  </si>
  <si>
    <t>Discounts to Sales groupby</t>
  </si>
  <si>
    <t>discountstoSalesgroupby</t>
  </si>
  <si>
    <t>{"node_x":["discountstoSales"]}</t>
  </si>
  <si>
    <t>2023_MERCHSALES</t>
  </si>
  <si>
    <t>Temp Plug for Returns</t>
  </si>
  <si>
    <t>tempplugforreturns</t>
  </si>
  <si>
    <t>2004_MERCHSALES</t>
  </si>
  <si>
    <t>Units (Gross UOM)NG</t>
  </si>
  <si>
    <t>unitsGrossUOMNG</t>
  </si>
  <si>
    <t>2016_MERCHSALES</t>
  </si>
  <si>
    <t>Units (UOM less returns)</t>
  </si>
  <si>
    <t>unitsUOMlessreturns</t>
  </si>
  <si>
    <t>unitsGrossUOMNG - returnedUnitsUOMNG +tempplugforuom</t>
  </si>
  <si>
    <t>2015_MERCHSALES</t>
  </si>
  <si>
    <t>Returned Units (UOM)NG</t>
  </si>
  <si>
    <t>returnedUnitsUOMNG</t>
  </si>
  <si>
    <t>returnedPctofUnitsGrossUOM * unitsGrossUOMNG</t>
  </si>
  <si>
    <t>2006_MERCHSALES</t>
  </si>
  <si>
    <t>Returned % of Units (Gross UOM)</t>
  </si>
  <si>
    <t>returnedPctofUnitsGrossUOM</t>
  </si>
  <si>
    <t>2024_MERCHSALES</t>
  </si>
  <si>
    <t>Temp Plug for UOM</t>
  </si>
  <si>
    <t>tempplugforUOM</t>
  </si>
  <si>
    <t>4100_MERCHSALES</t>
  </si>
  <si>
    <t>Worked Units</t>
  </si>
  <si>
    <t>workedUnits</t>
  </si>
  <si>
    <t>unitsOps  + unitsReturnedOps</t>
  </si>
  <si>
    <t>4101_MERCHSALES</t>
  </si>
  <si>
    <t>Units (Ops)</t>
  </si>
  <si>
    <t>unitsOps</t>
  </si>
  <si>
    <t>opsUnitsPctofUnitsGrossUOM *  unitsGrossUOMNG</t>
  </si>
  <si>
    <t>2008_MERCHSALES</t>
  </si>
  <si>
    <t>Ops Units % of Units (Gross UOM)</t>
  </si>
  <si>
    <t>opsUnitsPctofUnitsGrossUOM</t>
  </si>
  <si>
    <t>4102_MERCHSALES</t>
  </si>
  <si>
    <t>Units (Returned Ops)</t>
  </si>
  <si>
    <t>unitsReturnedOps</t>
  </si>
  <si>
    <t>returnedUnitsOpspctofOpsUnits *  unitsOps</t>
  </si>
  <si>
    <t>2022_MERCHSALES</t>
  </si>
  <si>
    <t>Returned Units (ops) % of Ops Units</t>
  </si>
  <si>
    <t>returnedUnitsOpspctofOpsUnits</t>
  </si>
  <si>
    <t>metric_ID</t>
  </si>
  <si>
    <t>metric_Name</t>
  </si>
  <si>
    <t>metric_var_name</t>
  </si>
  <si>
    <t>Input vs Calc</t>
  </si>
  <si>
    <t>Month</t>
  </si>
  <si>
    <t>Channel</t>
  </si>
  <si>
    <t>Department</t>
  </si>
  <si>
    <t>Entity</t>
  </si>
  <si>
    <t>Reporting</t>
  </si>
  <si>
    <t>Business_area</t>
  </si>
  <si>
    <t>causal_function</t>
  </si>
  <si>
    <t>Tags</t>
  </si>
  <si>
    <t>6 Line?</t>
  </si>
  <si>
    <t>value_type</t>
  </si>
  <si>
    <t>GL_Account</t>
  </si>
  <si>
    <t>aggregation_type</t>
  </si>
  <si>
    <t>SBA Code</t>
  </si>
  <si>
    <t>SBA</t>
  </si>
  <si>
    <t>SBA Read-only</t>
  </si>
  <si>
    <t>0004_UFM</t>
  </si>
  <si>
    <t>Memo metrics</t>
  </si>
  <si>
    <t>memoMetrics</t>
  </si>
  <si>
    <t>*</t>
  </si>
  <si>
    <t>(oldgMVplusServiceslessReturns+outsourcingUndefined)*0</t>
  </si>
  <si>
    <t>func12</t>
  </si>
  <si>
    <t>Parent</t>
  </si>
  <si>
    <t>Good</t>
  </si>
  <si>
    <t>0003_UFM</t>
  </si>
  <si>
    <t>Alternate Hierarchies</t>
  </si>
  <si>
    <t>alternateHierarchies</t>
  </si>
  <si>
    <t>(demandMetrics+lMDMetrics+merchopsmetrics+merchandiseIncomeallocatedtoentity+marketplaceMetrics+storeLaborMetrics+e2eTransportation+outboundTotal)*0</t>
  </si>
  <si>
    <t>0008_UFM</t>
  </si>
  <si>
    <t>Merch Ops Metrics</t>
  </si>
  <si>
    <t>merchopsmetrics</t>
  </si>
  <si>
    <t>(mototalGrossProfit + mototalNetSales + mototalGMV + moiMUPctwithoutCash + moiMUPctwithCash + momarkdownPctatCost + mohiddenShrinkPct + mogPOSPct + mocostComplement) * 0</t>
  </si>
  <si>
    <t>0002_UFM</t>
  </si>
  <si>
    <t>Demand Metrics</t>
  </si>
  <si>
    <t>demandMetrics</t>
  </si>
  <si>
    <t>(netMetrics+grossMetrics+unitMetrics+baseChannelOrderCount + gMVplusServices + gMVplusServiceslessReturns + nnetsales + unitsGrossUOMNG + unitsUOMlessreturns + workedUnits + aURs)*0</t>
  </si>
  <si>
    <t>#</t>
  </si>
  <si>
    <t>0005_UFM</t>
  </si>
  <si>
    <t>Gross Metrics</t>
  </si>
  <si>
    <t>grossMetrics</t>
  </si>
  <si>
    <t>(grossShippedGMV+unitsGrossUOMNG+grossAUR)*0</t>
  </si>
  <si>
    <t>1002_GMV</t>
  </si>
  <si>
    <t>Gross Shipped GMV</t>
  </si>
  <si>
    <t>grossShippedGMV</t>
  </si>
  <si>
    <t>DSV_S2H, OWNED_S2H, SHIP_FROM_STORE, UNSCHEDULED_DELIVERY, DSV_S2S, OWNED_S2S, UNSCHEDULED_PICKUP, INSTORE_INCLUB, NONE, OTHER_PHYSICAL, EXPRESS_DELIVERY, EVERGREEN_DELIVERY, INHOME_DELIVERY, SCHEDULED_DELIVERY, EXPRESS_PICKUP, SCHEDULED_PICKUP, WMT_INSTACART, BUSINESS_DELIVERY_SERVICES, SOFTWARE_SOLUTIONS, THIRD_PARTY_WEBSITE, GIFT_REGISTRY, WMT_PHOTO, WMT_PHARMACY_RX, OTHER_LMD_3P_PLATFORM</t>
  </si>
  <si>
    <t>{"node_x":["merchandiseIncome"]}</t>
  </si>
  <si>
    <t>sum_intermediate_groupby</t>
  </si>
  <si>
    <t>$</t>
  </si>
  <si>
    <t>SELLER_FULFILLED,LOCAL_MARKETPLACE, WALMART_FULFILLMENT_SERVICES</t>
  </si>
  <si>
    <t>gMV</t>
  </si>
  <si>
    <t>2003_GMV</t>
  </si>
  <si>
    <t>Units (Gross UOM)</t>
  </si>
  <si>
    <t>unitsGrossUOM</t>
  </si>
  <si>
    <t>unitsNetUOM+returnedUnitsUOM</t>
  </si>
  <si>
    <t>2001_GMV</t>
  </si>
  <si>
    <t>Units (Net UOM)</t>
  </si>
  <si>
    <t>unitsNetUOM</t>
  </si>
  <si>
    <t>scannedUnitsIBGDemand*uOMPctofScannedNet</t>
  </si>
  <si>
    <t>3002_GMV</t>
  </si>
  <si>
    <t>Gross AUR</t>
  </si>
  <si>
    <t>grossAUR</t>
  </si>
  <si>
    <t>grossShippedGMV/unitsGrossUOM</t>
  </si>
  <si>
    <t>0006_UFM</t>
  </si>
  <si>
    <t>Unit Metrics</t>
  </si>
  <si>
    <t>unitMetrics</t>
  </si>
  <si>
    <t>(unitsNetUOM+unitsGrossUOM+scannedUnitsIBGDemand+rXScripts)*0</t>
  </si>
  <si>
    <t>0012_UFM</t>
  </si>
  <si>
    <t>Net Metrics</t>
  </si>
  <si>
    <t>netMetrics</t>
  </si>
  <si>
    <t>(gMV+aURNetGMV+unitsNetUOM+scannedUnitsIBGDemand)*0</t>
  </si>
  <si>
    <t>0001_UFM</t>
  </si>
  <si>
    <t>Driver Tree</t>
  </si>
  <si>
    <t>driverTree</t>
  </si>
  <si>
    <t>(totalValue+segmentOperatingIncome)*0</t>
  </si>
  <si>
    <t>101_TV</t>
  </si>
  <si>
    <t>Total Value</t>
  </si>
  <si>
    <t>totalValue</t>
  </si>
  <si>
    <t>membershipandOtherIncomeTV + tMSV</t>
  </si>
  <si>
    <t>102_TV</t>
  </si>
  <si>
    <t>TMSV</t>
  </si>
  <si>
    <t>tMSV</t>
  </si>
  <si>
    <t>(tMSVCalculated)</t>
  </si>
  <si>
    <t>105_TV</t>
  </si>
  <si>
    <t>TMSV Calculated</t>
  </si>
  <si>
    <t>tMSVCalculated</t>
  </si>
  <si>
    <t>gMV+gSV</t>
  </si>
  <si>
    <t>1001_GMV</t>
  </si>
  <si>
    <t>GMV</t>
  </si>
  <si>
    <t>netShippedGMVIBGDemand+OtherGMV</t>
  </si>
  <si>
    <t>103_GMV</t>
  </si>
  <si>
    <t>Other GMV</t>
  </si>
  <si>
    <t>OtherGMV</t>
  </si>
  <si>
    <t>merchandiseSalesGMV+ServiceIncomeGMV+RefundsGMV</t>
  </si>
  <si>
    <t>104_GMV</t>
  </si>
  <si>
    <t>Merchandise Sales (GMV)</t>
  </si>
  <si>
    <t>merchandiseSalesGMV</t>
  </si>
  <si>
    <t>HEALTH AND WELLNESS</t>
  </si>
  <si>
    <t>105_GMV</t>
  </si>
  <si>
    <t>Service Income (GMV)</t>
  </si>
  <si>
    <t>serviceIncomeGMV</t>
  </si>
  <si>
    <t>{"node_x":["serviceIncome"]}</t>
  </si>
  <si>
    <t>106_GMV</t>
  </si>
  <si>
    <t>Refunds (GMV)</t>
  </si>
  <si>
    <t>refundsGMV</t>
  </si>
  <si>
    <t>{"node_x":["refunds"]}</t>
  </si>
  <si>
    <t>OTHER, WMT_PHARMACY_RX</t>
  </si>
  <si>
    <t>FASHION, CONSUMABLES, ENTERTAINMENT TOYS AND SEASONAL, FOOD, HARDLINES, HOME, OTHER</t>
  </si>
  <si>
    <t>1001_GSV</t>
  </si>
  <si>
    <t>GSV</t>
  </si>
  <si>
    <t>gSV</t>
  </si>
  <si>
    <t>{"node_x":["otherMerchandServiceIncome", "CommissionIncome", "FinancialServicesIncome", "shippingRevenue", "DiscountsToSales"]}</t>
  </si>
  <si>
    <t>106_TV</t>
  </si>
  <si>
    <t>Membership and Other Income (TV)</t>
  </si>
  <si>
    <t>membershipandOtherIncomeTV</t>
  </si>
  <si>
    <t>{"node_x":["membershipandOtherIncome"]}</t>
  </si>
  <si>
    <t>0045_UFM</t>
  </si>
  <si>
    <t>Segment Operating Income</t>
  </si>
  <si>
    <t>segmentOperatingIncome</t>
  </si>
  <si>
    <t>(grossProfit - sGandA + membershipAndOtherIncome)</t>
  </si>
  <si>
    <t>0045_0</t>
  </si>
  <si>
    <t>4000_UFM</t>
  </si>
  <si>
    <t>Gross Profit</t>
  </si>
  <si>
    <t>grossProfit</t>
  </si>
  <si>
    <t>(netSales - costofSales)</t>
  </si>
  <si>
    <t>4000_0</t>
  </si>
  <si>
    <t>4100_UFM</t>
  </si>
  <si>
    <t>Net Sales</t>
  </si>
  <si>
    <t>netSales</t>
  </si>
  <si>
    <t>(merchandiseIncomemajor  + commissionIncome + financialServicesIncome + shippingRevenue + discountstoSales+otherServicesIncome)</t>
  </si>
  <si>
    <t>4100_0</t>
  </si>
  <si>
    <t>4101_UFM</t>
  </si>
  <si>
    <t>Merchandise Income (major)</t>
  </si>
  <si>
    <t>merchandiseIncomemajor</t>
  </si>
  <si>
    <t>(merchandiseIncome + serviceIncome + refunds + creditCardChargebacks + otherMerchandServiceIncome)</t>
  </si>
  <si>
    <t>4101010_UFM</t>
  </si>
  <si>
    <t>Merchandise Income</t>
  </si>
  <si>
    <t>merchandiseIncome</t>
  </si>
  <si>
    <t>(merchandiseIncomePlug + merchandiseIncomeCalculated)</t>
  </si>
  <si>
    <t>101_MERCHSALES</t>
  </si>
  <si>
    <t>Merchandise Income Plug</t>
  </si>
  <si>
    <t>merchandiseIncomePlug</t>
  </si>
  <si>
    <t>Actuals</t>
  </si>
  <si>
    <t>(merchandiseIncomeHistoricalSOT - merchandiseIncomeCalculated)</t>
  </si>
  <si>
    <t>103_MERCHSALES</t>
  </si>
  <si>
    <t>Merchandise Income Historical SOT</t>
  </si>
  <si>
    <t>merchandiseIncomeHistoricalSOT</t>
  </si>
  <si>
    <t>{"node_x":["merchandiseIncomeHistoricalSOTbasegrain"]}</t>
  </si>
  <si>
    <t>Good, Unassigned</t>
  </si>
  <si>
    <t>188_MERCHSALES</t>
  </si>
  <si>
    <t>Merchandise Income Historical SOT (base grain)</t>
  </si>
  <si>
    <t>merchandiseIncomeHistoricalSOTbasegrain</t>
  </si>
  <si>
    <t>ALL</t>
  </si>
  <si>
    <t>4101030_UFM</t>
  </si>
  <si>
    <t>Service Income</t>
  </si>
  <si>
    <t>serviceIncome</t>
  </si>
  <si>
    <t>(serviceIncomePlug + serviceIncomeCalculated)</t>
  </si>
  <si>
    <t>101_SERVINC</t>
  </si>
  <si>
    <t>Service Income Plug</t>
  </si>
  <si>
    <t>serviceIncomePlug</t>
  </si>
  <si>
    <t>(serviceIncomeHistoricalSOT - serviceIncomeCalculated)</t>
  </si>
  <si>
    <t>112_SERVINC</t>
  </si>
  <si>
    <t>Service Income Historical SOT</t>
  </si>
  <si>
    <t>serviceIncomeHistoricalSOT</t>
  </si>
  <si>
    <t>{"node_x":["serviceIncomeHistoricalSOTbasegrain"]}</t>
  </si>
  <si>
    <t>103_SERVINC</t>
  </si>
  <si>
    <t>Service Income Historical SOT (base grain)</t>
  </si>
  <si>
    <t>serviceIncomeHistoricalSOTbasegrain</t>
  </si>
  <si>
    <t>serviceIncomesplitfromblendeddepts/grossGMV</t>
  </si>
  <si>
    <t>Bad</t>
  </si>
  <si>
    <t>101_REFU</t>
  </si>
  <si>
    <t>Refunds Plug</t>
  </si>
  <si>
    <t>refundsPlug</t>
  </si>
  <si>
    <t>(refundsHistoricalSOT - refundsCalculated)</t>
  </si>
  <si>
    <t>112_REFU</t>
  </si>
  <si>
    <t>Refunds Historical SOT</t>
  </si>
  <si>
    <t>refundsHistoricalSOT</t>
  </si>
  <si>
    <t>{"node_x":["refundsHistoricalSOTbasegrain"]}</t>
  </si>
  <si>
    <t>Bad, Unassigned</t>
  </si>
  <si>
    <t>103_REFU</t>
  </si>
  <si>
    <t>Refunds Historical SOT (base grain)</t>
  </si>
  <si>
    <t>refundsHistoricalSOTbasegrain</t>
  </si>
  <si>
    <t>4105_UFM</t>
  </si>
  <si>
    <t>Discounts to Sales</t>
  </si>
  <si>
    <t>discountstoSales</t>
  </si>
  <si>
    <t>(discountstoSalesPlug + discountstoSalesCalculated)</t>
  </si>
  <si>
    <t>101_DISC</t>
  </si>
  <si>
    <t>Discounts to Sales Plug</t>
  </si>
  <si>
    <t>discountstoSalesPlug</t>
  </si>
  <si>
    <t>(discountstoSalesHistoricalSOT - discountstoSalesCalculated)</t>
  </si>
  <si>
    <t>103_DISC</t>
  </si>
  <si>
    <t>Discounts to Sales Historical SOT</t>
  </si>
  <si>
    <t>discountstoSalesHistoricalSOT</t>
  </si>
  <si>
    <t>4500_UFM</t>
  </si>
  <si>
    <t>Cost of Sales</t>
  </si>
  <si>
    <t>costofSales</t>
  </si>
  <si>
    <t>(costofGoodsSold + buyingAllowances + inventoryVariances + shippingExpense + transportationCosts + otherCostofSales)</t>
  </si>
  <si>
    <t>4500_0</t>
  </si>
  <si>
    <t>4501_UFM</t>
  </si>
  <si>
    <t>Cost of Goods Sold</t>
  </si>
  <si>
    <t>costofGoodsSold</t>
  </si>
  <si>
    <t>(cOGSPlug + cOGSCalculated)</t>
  </si>
  <si>
    <t>100_COGS</t>
  </si>
  <si>
    <t>COGS Plug</t>
  </si>
  <si>
    <t>cOGSPlug</t>
  </si>
  <si>
    <t>(cOGSHistoricalSOT + cOGSHistoricalSOTSCCOGSFilterGap- cOGSCalculated)</t>
  </si>
  <si>
    <t>func15</t>
  </si>
  <si>
    <t>102_COGS</t>
  </si>
  <si>
    <t>COGS Historical SOT</t>
  </si>
  <si>
    <t>cOGSHistoricalSOT</t>
  </si>
  <si>
    <t>142_COGS</t>
  </si>
  <si>
    <t>COGS Historical SOT(SC_COGS Filter Gap)</t>
  </si>
  <si>
    <t>cOGSHistoricalSOTSCCOGSFilterGap</t>
  </si>
  <si>
    <t>4503_UFM</t>
  </si>
  <si>
    <t>Buying Allowances</t>
  </si>
  <si>
    <t>buyingAllowances</t>
  </si>
  <si>
    <t>(buyingAllowancesPlug + buyingAllowancesCalculated)</t>
  </si>
  <si>
    <t>101_BA</t>
  </si>
  <si>
    <t>Buying Allowances Plug</t>
  </si>
  <si>
    <t>buyingAllowancesPlug</t>
  </si>
  <si>
    <t>(buyingAllowancesHistoricalSOT + buyingAllowancesHistoricalSOTDepartmentGap - buyingAllowancesCalculated)</t>
  </si>
  <si>
    <t>103_BA</t>
  </si>
  <si>
    <t>Buying Allowances Historical SOT</t>
  </si>
  <si>
    <t>buyingAllowancesHistoricalSOT</t>
  </si>
  <si>
    <t>142_BA</t>
  </si>
  <si>
    <t>Buying Allowances Historical SOT (Department Gap)</t>
  </si>
  <si>
    <t>buyingAllowancesHistoricalSOTDepartmentGap</t>
  </si>
  <si>
    <t>4505_UFM</t>
  </si>
  <si>
    <t>Shipping Expense</t>
  </si>
  <si>
    <t>shippingExpense</t>
  </si>
  <si>
    <t>shippingExpenseCalculatedGP+shippingExpensePlug</t>
  </si>
  <si>
    <t>102_SHIPEX</t>
  </si>
  <si>
    <t>Shipping Expense Plug</t>
  </si>
  <si>
    <t>shippingExpensePlug</t>
  </si>
  <si>
    <t>(shippingExpenseHistoricalSOT + shippingExpenseHistoricalSOTSCCOGSFilterGap - shippingExpenseCalculatedGP)</t>
  </si>
  <si>
    <t>103_SHIPEX</t>
  </si>
  <si>
    <t>Shipping Expense Historical SOT</t>
  </si>
  <si>
    <t>shippingExpenseHistoricalSOT</t>
  </si>
  <si>
    <t>142_SHIPEX</t>
  </si>
  <si>
    <t>Shipping Expense Historical SOT(SC_COGS Filter Gap)</t>
  </si>
  <si>
    <t>shippingExpenseHistoricalSOTSCCOGSFilterGap</t>
  </si>
  <si>
    <t>4502_UFM</t>
  </si>
  <si>
    <t>Inventory Variances</t>
  </si>
  <si>
    <t>inventoryVariances</t>
  </si>
  <si>
    <t>inventoryVariancesInput+inventoryVariancesHistoricalSOTDepartmentGap</t>
  </si>
  <si>
    <t>4506_UFM</t>
  </si>
  <si>
    <t>Transportation Costs</t>
  </si>
  <si>
    <t>transportationCosts</t>
  </si>
  <si>
    <t>transportationCostsInput+transportationCostsHistoricalSOTSCCOGSFilterGap</t>
  </si>
  <si>
    <t>450700, 450600, 450800, 451100</t>
  </si>
  <si>
    <t>4513_UFM</t>
  </si>
  <si>
    <t>Other Cost of Sales</t>
  </si>
  <si>
    <t>otherCostofSales</t>
  </si>
  <si>
    <t>(otherCostsPlug + otherCostsCalculated)</t>
  </si>
  <si>
    <t xml:space="preserve">451200, 460700, 460400, 460100, 460600, M500000, 451300, 450400, 460500, 5000_0_COGS, 460200, </t>
  </si>
  <si>
    <t>101_OTHCOS</t>
  </si>
  <si>
    <t>Other Costs Plug</t>
  </si>
  <si>
    <t>otherCostsPlug</t>
  </si>
  <si>
    <t>(otherCostsHistoricalSOT + otherCostsHistoricalSOTSCCOGSFilterGap - otherCostsCalculated)</t>
  </si>
  <si>
    <t>103_OTHCOS</t>
  </si>
  <si>
    <t>Other Costs Historical SOT</t>
  </si>
  <si>
    <t>otherCostsHistoricalSOT</t>
  </si>
  <si>
    <t>142_OTHCOS</t>
  </si>
  <si>
    <t>Other Costs Historical SOT(SC_COGS Filter Gap)</t>
  </si>
  <si>
    <t>otherCostsHistoricalSOTSCCOGSFilterGap</t>
  </si>
  <si>
    <t>5000_UFM</t>
  </si>
  <si>
    <t>SG&amp;A</t>
  </si>
  <si>
    <t>sGandA</t>
  </si>
  <si>
    <t>_1SalariesandWages+ incentivesPk02 + benefitsPk03 + associateRelationsTrainingandRecruitmentPk04 + utilitiesandSustainabilityPk05 + rentRealEstatePk06 + _7BuildingsFacilitiesMaintenance + _9supplycosts + creditCardFeesBankChargesPk10 + nonpersonnelTaxesPk11 + riskandCasualtyPk12 + _13MarketingAdvertising + travelandEventsPkg14 + equipmentLeasePk15 + professionalServicesPk16 + complianceLegalFeesandServicesPk17 + _18StoreClubDCServicesNonMaintenance +  publicAffairsandContributionsDonationsPk19 + technologyInfrastructureandApplicationsPk20 + technologyAllocationPk21 + uncollectibleReconciliationPk22 + depreciationandAmortizationPk23 + gainLossWriteOffPk24 + allocationsInternalChargesAccountingAdjustmentsPk25 + GLswithNoActivityPk26</t>
  </si>
  <si>
    <t>5000_0</t>
  </si>
  <si>
    <t>5001_UFM</t>
  </si>
  <si>
    <t>[1] Salaries and Wages</t>
  </si>
  <si>
    <t>_1SalariesandWages</t>
  </si>
  <si>
    <t>sOT01SalariesandWages</t>
  </si>
  <si>
    <t>5002_UFM</t>
  </si>
  <si>
    <t>[02] Incentives</t>
  </si>
  <si>
    <t>incentivesPk02</t>
  </si>
  <si>
    <t>longTermBonusPk0201 + stockPurchasePlanContributionPk0206 + fieldIncentiveExpensePk0202 + pharmacyIncentiveExpensePk0203 + warehouseIncentiveExpensePk0204 + mIPBonusExpensePk0205</t>
  </si>
  <si>
    <t>5003_UFM</t>
  </si>
  <si>
    <t>[03] Benefits</t>
  </si>
  <si>
    <t>benefitsPk03</t>
  </si>
  <si>
    <t>healthBenefitsLifeInsurancePk0301 + retirementPlanPk0302  + otherAssociateBenefitsPk0303 + deferredInterestPk0304</t>
  </si>
  <si>
    <t>5004_UFM</t>
  </si>
  <si>
    <t>[04] Associate Relations; Training &amp; Recruitment</t>
  </si>
  <si>
    <t>associateRelationsTrainingandRecruitmentPk04</t>
  </si>
  <si>
    <t>traningPk0401 + recruitmentPk0402 + jobScreening0403 + workplaceBenefitsPk0404 + associateRelationsIndividualBenefitsPk0405 + individualDuesSubscriptionsandLicensesPk0407</t>
  </si>
  <si>
    <t>5005_UFM</t>
  </si>
  <si>
    <t>[05] Utilities &amp; Sustainability</t>
  </si>
  <si>
    <t>utilitiesandSustainabilityPk05</t>
  </si>
  <si>
    <t>electricServicePk0501 + gasServicePk0502 + waterSewerIrrigationPk0503 + wasteRemovalPk0504 + recyclingandSustainabilityPk0505 + commonAreaMaintenanceUtilitiesPk0506 + utilitiesExpensePreOpeningPk0507 + otherUtilitiyExpensePk0508 + reimbursedUtilitiesPk0509</t>
  </si>
  <si>
    <t>5006_UFM</t>
  </si>
  <si>
    <t>[06] Rent (Real Estate)</t>
  </si>
  <si>
    <t>rentRealEstatePk06</t>
  </si>
  <si>
    <t>propertyLeasePk0601 + variableLeasePk0602</t>
  </si>
  <si>
    <t>5007_UFM</t>
  </si>
  <si>
    <t>[07] Buildings/Facilities Maintenance</t>
  </si>
  <si>
    <t>_7BuildingsFacilitiesMaintenance</t>
  </si>
  <si>
    <t>sOT07MandR</t>
  </si>
  <si>
    <t>5009_UFM</t>
  </si>
  <si>
    <t>[09] Supply Costs</t>
  </si>
  <si>
    <t>_9SupplyCosts</t>
  </si>
  <si>
    <t>sOT09Supplies</t>
  </si>
  <si>
    <t>5010_UFM</t>
  </si>
  <si>
    <t>[10] Credit Card Fees; Bank Charges</t>
  </si>
  <si>
    <t>creditCardFeesBankChargesPk10</t>
  </si>
  <si>
    <t>electronicPaymentAcceptanceFeesPk1001 + bankFees1002 + armoredCarriersPK1003</t>
  </si>
  <si>
    <t>5011_UFM</t>
  </si>
  <si>
    <t>[11] Non-Personnel Taxes</t>
  </si>
  <si>
    <t>nonpersonnelTaxesPk11</t>
  </si>
  <si>
    <t>realEstatePropertyTaxesPk1101 + salesReceiptsTaxPk1102 + otherTaxExpensePk1103 + otherTaxExpensePreOpeningPk1104 + otherTaxesnonregulatedPk1105</t>
  </si>
  <si>
    <t>5012_UFM</t>
  </si>
  <si>
    <t>[12] Risk &amp; Casualty</t>
  </si>
  <si>
    <t>riskandCasualtyPk12</t>
  </si>
  <si>
    <t>workersCompensationCostsPk1201 + customerAccidentCostsPk1202 + casualtyInsuranceandFeesPk1203 + propertyInsuranceandExpensesPk1204 + professionalInsurancePk1205 + cAMInsurancePk1206</t>
  </si>
  <si>
    <t>5013_UFM</t>
  </si>
  <si>
    <t>[13] Marketing/Advertising</t>
  </si>
  <si>
    <t>_13MarketingAdvertising</t>
  </si>
  <si>
    <t>sOT13Marketing</t>
  </si>
  <si>
    <t>5014_UFM</t>
  </si>
  <si>
    <t>[14] Travel &amp; Events</t>
  </si>
  <si>
    <t>travelandEventsPkg14</t>
  </si>
  <si>
    <t>associateRelatedTravelExpensesPk1401 + corporateAviationPk1402 + eventsPk1403 + remodelTravelExpensePk1404</t>
  </si>
  <si>
    <t>5015_UFM</t>
  </si>
  <si>
    <t>[15] Equipment Lease</t>
  </si>
  <si>
    <t>equipmentLeasePk15</t>
  </si>
  <si>
    <t>equipmentLeasePk1501 + equipmentRentalExpensePreOpeningPk1502</t>
  </si>
  <si>
    <t>5016_UFM</t>
  </si>
  <si>
    <t>[16] Professional Services</t>
  </si>
  <si>
    <t>professionalServicesPk16</t>
  </si>
  <si>
    <t>consultingPk1601 + financialTransactionSupportServicesPk1602 + auditPk1603 + translationServicesPk1604 + businessProcessOutsourcingPk1605 + otherProfessionalServicesPk1606 + otherOutsideServicesPk1607</t>
  </si>
  <si>
    <t>5017_UFM</t>
  </si>
  <si>
    <t>[17] Compliance/Legal Fees and Services</t>
  </si>
  <si>
    <t>complianceLegalFeesandServicesPk17</t>
  </si>
  <si>
    <t>outsideCounselLitigationPk1701 + outsideCounselNonLitigationPk1702 + operationalLicensesandPermitsPk1703 + documentArchivingandManagementPk1704 + governmentFinesandPenaltiesPk1705 + boardofDirectorExpensesPk1706 + legalSettlementsNonCommitteeBasedPk1707 + legalSettlementsCommitteeBasedPk1708 + governmentOfficialExpensesPk1709</t>
  </si>
  <si>
    <t>5018_UFM</t>
  </si>
  <si>
    <t>[18] Store/Club/DC Services (Non-Maintenance)</t>
  </si>
  <si>
    <t>_18StoreClubDCServicesNonMaintenance</t>
  </si>
  <si>
    <t>sOT18Services</t>
  </si>
  <si>
    <t>5019_UFM</t>
  </si>
  <si>
    <t>[19] Public Affairs and Contributions/Donations</t>
  </si>
  <si>
    <t>publicAffairsandContributionsDonationsPk19</t>
  </si>
  <si>
    <t>externalCommunicationPk1901 + legallyRequiredCommunicationPk1903 + lobbyingExpensesandPoliticalContributionsPk1904 +  tradeAssociationFeesandCorporateMembershipsPk1905 +  charitableContributionsandDonationsPk1906</t>
  </si>
  <si>
    <t>5020_UFM</t>
  </si>
  <si>
    <t>[20] Technology Infrastructure &amp; Applications</t>
  </si>
  <si>
    <t>technologyInfrastructureandApplicationsPk20</t>
  </si>
  <si>
    <t>processingandStorageInfrastructurePk2001 + storeClubHardwareandMaintenancePk2002 + iTNetworkEquipmentandMaintenancePk2003 + fixedTelecomDatacomDevicesandServicesPk2004 + endUserComputingPk2005 + mobileDevicesandServicesPk2006 + iaaSandPaaSPk2007 + iTOperationsServicesPk2008 + dataCenterOutsourcingPk2009 + applicationsSupportServicesPk2010 + onpremiseSoftwareMaintenancePk2011 + applicationsasaServicePk2012 + websiteDevelopmentandManagementPk2013 + applicationDevelopment3rdpartyfixedbidPk2014</t>
  </si>
  <si>
    <t>5021_UFM</t>
  </si>
  <si>
    <t>[21] Technology Allocation</t>
  </si>
  <si>
    <t>technologyAllocationPk21</t>
  </si>
  <si>
    <t>techCTODirectBillPk2101 + techStoreClubITSupportPk2102 + techUSCTOInfraApportionedPk2103 + techGBSDirectBillPk2104 + techGBSApportionedPk2105 + gBSServicesFixedChargesPk2106 + gBSServicesVariableConsumptionPk2107 + gBSServicesVariableSegmentInitiativesPk2108 + iCBalanceISDAllocationsPk2109</t>
  </si>
  <si>
    <t>5022_UFM</t>
  </si>
  <si>
    <t>[22] Uncollectible/Reconciliation</t>
  </si>
  <si>
    <t>uncollectibleReconciliationPk22</t>
  </si>
  <si>
    <t>cashShortandLongPk2201 + payrollCheckCashingUncollectibleAccountsPk2202 + badDebtExpensePk2203 + uncollectibleHealthandWellnessPk2204 + couponRedemptionPk2205 + financialServicesExpensePk2206 + lotteryExpenseNetDebitbalancePk2207</t>
  </si>
  <si>
    <t>5023_UFM</t>
  </si>
  <si>
    <t>[23] Depreciation &amp; Amortization</t>
  </si>
  <si>
    <t>depreciationandAmortizationPk23</t>
  </si>
  <si>
    <t>depreciationPk2301 + amortizationPk2302</t>
  </si>
  <si>
    <t>5024_UFM</t>
  </si>
  <si>
    <t>[24] Gain; Loss; Write-off</t>
  </si>
  <si>
    <t>gainLossWriteOffPk24</t>
  </si>
  <si>
    <t>foreignCurrencyGainLossPk2401 + saleofAssetsLandGainLossPk2402 + impairmentWriteoffExpensesPk2403 + variableInterestEntityPk2404 + lossExpensePk2405 + otherNonRecoverableTaxPk2406 + otherNonTaxDeductibleExpensePk2407 + badDebtExpenseNonTaxDeductiblePk2408</t>
  </si>
  <si>
    <t>5025_UFM</t>
  </si>
  <si>
    <t>[25] Allocations/Internal Charges/Accounting Adjustments</t>
  </si>
  <si>
    <t>allocationsInternalChargesAccountingAdjustmentsPk25</t>
  </si>
  <si>
    <t>maintenanceandRepairsExpenseSweepPk2501 + suspenseASDASweepPk2502 + paymentRoundingDifferencesPk2504 +intercompanyISDAllocationPk2505 + intercompanyWarehouseServicePk2506 + intercompanyGlobalSourcingAllocationPk2507 + intercompanyGlobalGeorgePk2508 + intercompanyGlobalGECAllocationPk2509 + intercompanyGSSGeCAllocationPk2510 + technologySegmentAllocationPk2511 + intercompanyPropertyAllocationPk2512 + intercompanySuppliesExpensePk2513 + storeClubPlanningExpensesPk2514 + projectExpendituresPk2515 + fXTranslationAdjustmentPk2517 + suspenseAccountsPk2519 + managementFeeandWagesAllocationPk2520 + returnCenterIncomePk2523 + accretionExpenseAssetRetirementObligationsPk2524 + intercompanyEquipmentRentalIncomePk2525 + intercompanyRentIncome2Pk2526 + marketingAllocationsPk2527 +  allocationsCorpAffairsPk2528 + impairmentExpenseStoreClosurePk2529 + iSDProjectCostTransferredtoCountryPk2530 + intercoMaintandRepairServicesIncomeplusMarkupPk2532 + intercoMaintandRepairServicesExpenseplusMarkupPk2533 + intercompanyServiceIncomePlusMarkupPk2534 + intercompanyServiceExpensePlusMarkupPk2535 + sGandAReclasstoCOGSorOtherIncomePk2536 + allocationsGlobalGovernancePk2537 + allocationsPeoplePk2538 + otherAllocationsPk2539 + intercompanyCommissionExpensePk2540 + intercompanyManagementFeesPk2541 + rentAllocationPk2542</t>
  </si>
  <si>
    <t>5026_UFM</t>
  </si>
  <si>
    <t>[26] GLs with No Activity</t>
  </si>
  <si>
    <t>GLswithNoActivityPk26</t>
  </si>
  <si>
    <t>GLswithNoActivity2601</t>
  </si>
  <si>
    <t>6000_UFM</t>
  </si>
  <si>
    <t>Membership &amp; Other Income</t>
  </si>
  <si>
    <t>membershipandOtherIncome</t>
  </si>
  <si>
    <t>membershipIncome + otherIncome</t>
  </si>
  <si>
    <t>OPERATIONS,E2E DELIVERY,INNOVATION &amp; AUTOMATION,CORE_SERVICES,SEGMENT,RX,OPTICAL,ECOMMERCE,FUEL,HOME OFFICE</t>
  </si>
  <si>
    <t>117_MERCHSALES</t>
  </si>
  <si>
    <t>Base Channel Order Count</t>
  </si>
  <si>
    <t>baseChannelOrderCount</t>
  </si>
  <si>
    <t>DSV_S2H, OWNED_S2H, SHIP_FROM_STORE, UNSCHEDULED_DELIVERY, DSV_S2S, OWNED_S2S, UNSCHEDULED_PICKUP, INSTORE_INCLUB, EXPRESS_DELIVERY, EVERGREEN_DELIVERY, INHOME_DELIVERY, SCHEDULED_DELIVERY, EXPRESS_PICKUP, SCHEDULED_PICKUP, WMT_INSTACART,WMT_PHOTO,SELLER_FULFILLED,LOCAL_MARKETPLACE, WALMART_FULFILLMENT_SERVICES</t>
  </si>
  <si>
    <t>(unitsGrossUOM/unitsperOrder)</t>
  </si>
  <si>
    <t>191_MERCHSALES</t>
  </si>
  <si>
    <t>Demand (month, channel, dept grain)</t>
  </si>
  <si>
    <t>demandmonthchanneldeptgrain</t>
  </si>
  <si>
    <t>FASHION, CONSUMABLES, ENTERTAINMENT TOYS AND SEASONAL, FOOD, HARDLINES, HOME</t>
  </si>
  <si>
    <t>{"node_x":["demandbasegrain"]}</t>
  </si>
  <si>
    <t>192_MERCHSALES</t>
  </si>
  <si>
    <t>Demand (base grain)</t>
  </si>
  <si>
    <t>demandbasegrain</t>
  </si>
  <si>
    <t>00021_UFM</t>
  </si>
  <si>
    <t>AUR (Net GMV)</t>
  </si>
  <si>
    <t>aURNetGMV</t>
  </si>
  <si>
    <t>gMV/unitsNetUOM</t>
  </si>
  <si>
    <t>Forecast</t>
  </si>
  <si>
    <t>SCHEDULED</t>
  </si>
  <si>
    <t>190_MERCHSALES</t>
  </si>
  <si>
    <t>Allocation % (Merchandise Income)</t>
  </si>
  <si>
    <t>allocationPctMerchandiseIncome</t>
  </si>
  <si>
    <t>INHOME_DELIVERY,SCHEDULED_DELIVERY,EVERGREEN_DELIVERY,EXPRESS_DELIVERY,EXPRESS_PICKUP,SCHEDULED_PICKUP,WMT_INSTACART</t>
  </si>
  <si>
    <t>%</t>
  </si>
  <si>
    <t>merchandiseIncomeallocatedtoentity/merchandiseIncomechanneldept</t>
  </si>
  <si>
    <t>demandbasegrain/demandmonthchanneldeptgrain</t>
  </si>
  <si>
    <t>302_MERCHSALES</t>
  </si>
  <si>
    <t>Merchandise Income (channel, dept)</t>
  </si>
  <si>
    <t>merchandiseIncomechanneldept</t>
  </si>
  <si>
    <t>netShippedGMVIBGDemand + instoreReturns</t>
  </si>
  <si>
    <t>111_MERCHSALES</t>
  </si>
  <si>
    <t>Net Shipped GMV (IBG Demand)</t>
  </si>
  <si>
    <t>netShippedGMVIBGDemand</t>
  </si>
  <si>
    <t>211_MERCHSALES</t>
  </si>
  <si>
    <t>Instore Returns</t>
  </si>
  <si>
    <t>instoreReturns</t>
  </si>
  <si>
    <t>104_SERVINC</t>
  </si>
  <si>
    <t>Service Income Calculated</t>
  </si>
  <si>
    <t>serviceIncomeCalculated</t>
  </si>
  <si>
    <t>serviceIncomesplitfromblendeddepts + nondriverInputsServiceIncome</t>
  </si>
  <si>
    <t>1104_SERVINC</t>
  </si>
  <si>
    <t>Service Income (Input)</t>
  </si>
  <si>
    <t>serviceIncomeInput</t>
  </si>
  <si>
    <t>104_REFU</t>
  </si>
  <si>
    <t>Refunds Calculated</t>
  </si>
  <si>
    <t>refundsCalculated</t>
  </si>
  <si>
    <t>storeReturns+cSRefunds+nondriverInputsRefunds*0</t>
  </si>
  <si>
    <t>209_REFU_N</t>
  </si>
  <si>
    <t>Store Returns</t>
  </si>
  <si>
    <t>storeReturns</t>
  </si>
  <si>
    <t>CONSOLIDATED DEMAND</t>
  </si>
  <si>
    <t>208_REFU_N</t>
  </si>
  <si>
    <t>CS Refunds</t>
  </si>
  <si>
    <t>cSRefunds</t>
  </si>
  <si>
    <t>103_SHIPREV</t>
  </si>
  <si>
    <t>Shipping Revenue</t>
  </si>
  <si>
    <t>shippingRevenue</t>
  </si>
  <si>
    <t>OTHER</t>
  </si>
  <si>
    <t>104_DISC</t>
  </si>
  <si>
    <t>Discounts to Sales Calculated</t>
  </si>
  <si>
    <t>discountstoSalesCalculated</t>
  </si>
  <si>
    <t>(associateDiscounttoSales + contraSalesPriceMatching + wDiscountstoSales + customerCarePromoCodes)</t>
  </si>
  <si>
    <t>106_DISC_N</t>
  </si>
  <si>
    <t>Associate Discount to Sales</t>
  </si>
  <si>
    <t>associateDiscounttoSales</t>
  </si>
  <si>
    <t>115_DISC_N</t>
  </si>
  <si>
    <t>Contra-Sales Price Matching</t>
  </si>
  <si>
    <t>contraSalesPriceMatching</t>
  </si>
  <si>
    <t>117_DISC_N</t>
  </si>
  <si>
    <t>W+ Discount to Sales</t>
  </si>
  <si>
    <t>wDiscountstoSales</t>
  </si>
  <si>
    <t>119_DISC_N</t>
  </si>
  <si>
    <t>Customer Care Promo Codes</t>
  </si>
  <si>
    <t>customerCarePromoCodes</t>
  </si>
  <si>
    <t>103_COGS</t>
  </si>
  <si>
    <t>COGS Calculated</t>
  </si>
  <si>
    <t>cOGSCalculated</t>
  </si>
  <si>
    <t>cOGSInput + nondriverInputsCOGS</t>
  </si>
  <si>
    <t>1104_COGS</t>
  </si>
  <si>
    <t>COGS (Input)</t>
  </si>
  <si>
    <t>cOGSInput</t>
  </si>
  <si>
    <t>104_BA</t>
  </si>
  <si>
    <t>Buying Allowances Calculated</t>
  </si>
  <si>
    <t>buyingAllowancesCalculated</t>
  </si>
  <si>
    <t>(warehouseAllowances +promotionalAllowances + otherBuyingAllowances)</t>
  </si>
  <si>
    <t xml:space="preserve"> </t>
  </si>
  <si>
    <t>1010_BA</t>
  </si>
  <si>
    <t>Warehouse Allowances</t>
  </si>
  <si>
    <t>warehouseAllowances</t>
  </si>
  <si>
    <t>139_BA</t>
  </si>
  <si>
    <t>Other Buying Allowances</t>
  </si>
  <si>
    <t>otherBuyingAllowances</t>
  </si>
  <si>
    <t>104_OTHCOS</t>
  </si>
  <si>
    <t>Other Costs Calculated</t>
  </si>
  <si>
    <t>otherCostsCalculated</t>
  </si>
  <si>
    <t>provisionforShrink+otherCostofGoodsSold + royaltyandLicenseExpense</t>
  </si>
  <si>
    <t>208_OTHCOS</t>
  </si>
  <si>
    <t>Provision for Shrink</t>
  </si>
  <si>
    <t>provisionforShrink</t>
  </si>
  <si>
    <t>224_OTHCOS</t>
  </si>
  <si>
    <t>Other Cost of Goods Sold</t>
  </si>
  <si>
    <t>otherCostofGoodsSold</t>
  </si>
  <si>
    <t>20033_GMV</t>
  </si>
  <si>
    <t>Returned Units (UOM)</t>
  </si>
  <si>
    <t>returnedUnitsUOM</t>
  </si>
  <si>
    <t>106_MERCHSALES</t>
  </si>
  <si>
    <t>Scanned Units (IBG Demand)</t>
  </si>
  <si>
    <t>scannedUnitsIBGDemand</t>
  </si>
  <si>
    <t>2002_GMV</t>
  </si>
  <si>
    <t>UOM % of Scanned (Net)</t>
  </si>
  <si>
    <t>uOMPctofScannedNet</t>
  </si>
  <si>
    <t>unitsNetUOM/scannedUnitsIBGDemand</t>
  </si>
  <si>
    <t>113_INVAR</t>
  </si>
  <si>
    <t>Inventory Variances Historical SOT (Department Gap)</t>
  </si>
  <si>
    <t>inventoryVariancesHistoricalSOTDepartmentGap</t>
  </si>
  <si>
    <t>142_TRAN</t>
  </si>
  <si>
    <t>Transportation Costs Historical SOT(SC_COGS Filter Gap)</t>
  </si>
  <si>
    <t>transportationCostsHistoricalSOTSCCOGSFilterGap</t>
  </si>
  <si>
    <t>DSV_S2H,OWNED_S2H,SHIP_FROM_STORE,UNSCHEDULED_DELIVERY,DSV_S2S,OWNED_S2S,UNSCHEDULED_PICKUP</t>
  </si>
  <si>
    <t>UNSCHEDULED AND CORE</t>
  </si>
  <si>
    <t>1015_BA</t>
  </si>
  <si>
    <t>Promotional Allowances</t>
  </si>
  <si>
    <t>promotionalAllowances</t>
  </si>
  <si>
    <t>220_OTHCOS</t>
  </si>
  <si>
    <t>Royalty and License Expense</t>
  </si>
  <si>
    <t>royaltyandLicenseExpense</t>
  </si>
  <si>
    <t>INSTORE_INCLUB</t>
  </si>
  <si>
    <t>INSTORE AND OTHER</t>
  </si>
  <si>
    <t>merchandiseIncomeInstoreCalcchanneldept</t>
  </si>
  <si>
    <t>311_MERCHSALES</t>
  </si>
  <si>
    <t>Merchandise Income (Instore Calc, channel, dept)</t>
  </si>
  <si>
    <t>(merchandiseIncomeTotalStores-merchandiseIncomeStoreFulfilledexclInstore)*instoreScalingNode</t>
  </si>
  <si>
    <t>309_MERCHSALES</t>
  </si>
  <si>
    <t>Merchandise Income (Store Fulfilled excl Instore Base)</t>
  </si>
  <si>
    <t>merchandiseIncomeStoreFulfilledexclInstoreBase</t>
  </si>
  <si>
    <t>INHOME_DELIVERY,SCHEDULED_DELIVERY,EVERGREEN_DELIVERY,SHIP_FROM_STORE,UNSCHEDULED_DELIVERY,UNSCHEDULED_PICKUP,EXPRESS_DELIVERY,EXPRESS_PICKUP,SCHEDULED_PICKUP</t>
  </si>
  <si>
    <t>310_MERCHSALES</t>
  </si>
  <si>
    <t>Merchandise Income (Store Fulfilled excl Instore)</t>
  </si>
  <si>
    <t>merchandiseIncomeStoreFulfilledexclInstore</t>
  </si>
  <si>
    <t>{"node_x":["merchandiseIncomeStoreFulfilledexclInstoreBase"]}</t>
  </si>
  <si>
    <t>(serviceIncomeTotalStores - serviceIncomeStoreFulfilledexclInstore)*instoreScalingNode</t>
  </si>
  <si>
    <t>401_MERCHSALES</t>
  </si>
  <si>
    <t>Instore Scaling Node</t>
  </si>
  <si>
    <t>instoreScalingNode</t>
  </si>
  <si>
    <t>merchandiseIncomeSOTinstoremonthchannel/merchandiseIncomeSOTinstoremonthchannel</t>
  </si>
  <si>
    <t>merchandiseIncomeHistoricalSOT/merchandiseIncomeHistoricalSOT</t>
  </si>
  <si>
    <t>402_MERCHSALES</t>
  </si>
  <si>
    <t>Merchandise Income SOT (instore month channel)</t>
  </si>
  <si>
    <t>merchandiseIncomeSOTinstoremonthchannel</t>
  </si>
  <si>
    <t>{"node_x":["merchandiseIncomeHistoricalSOT"]}</t>
  </si>
  <si>
    <t>310_SERVINC</t>
  </si>
  <si>
    <t>Service Income (Store Fulfilled excl Instore Base)</t>
  </si>
  <si>
    <t>serviceIncomeStoreFulfilledexclInstoreBase</t>
  </si>
  <si>
    <t>312_SERVINC</t>
  </si>
  <si>
    <t>Service Income (Store Fulfilled excl Instore)</t>
  </si>
  <si>
    <t>serviceIncomeStoreFulfilledexclInstore</t>
  </si>
  <si>
    <t>{"node_x":["serviceIncomeStoreFulfilledexclInstoreBase"]}</t>
  </si>
  <si>
    <t>103_COMM</t>
  </si>
  <si>
    <t>Commission Income</t>
  </si>
  <si>
    <t>commissionIncome</t>
  </si>
  <si>
    <t>DSV_S2H, SELLER_FULFILLED, LOCAL_MARKETPLACE, OWNED_S2H, SHIP_FROM_STORE, UNSCHEDULED_DELIVERY, WALMART_FULFILLMENT_SERVICES, DSV_S2S, OWNED_S2S, UNSCHEDULED_PICKUP, INSTORE_INCLUB, NONE, OTHER_PHYSICAL, EXPRESS_DELIVERY, EVERGREEN_DELIVERY, INHOME_DELIVERY, SCHEDULED_DELIVERY, EXPRESS_PICKUP, SCHEDULED_PICKUP, WMT_INSTACART, BUSINESS_DELIVERY_SERVICES, CORE_SERVICES, SERVICES_PHYSICAL, SOFTWARE_SOLUTIONS, THIRD_PARTY_WEBSITE, GIFT_REGISTRY, WMT_PHOTO, WMT_PHARMACY_RX, OTHER_LMD_3P_PLATFORM</t>
  </si>
  <si>
    <t>INSTORE_INCLUB,OTHER</t>
  </si>
  <si>
    <t>(cOGSTotalStores-cOGSStoreFulfilledexclInstore)*instoreScalingNode</t>
  </si>
  <si>
    <t>306_COGS</t>
  </si>
  <si>
    <t>COGS (Store Fulfilled excl Instore Base)</t>
  </si>
  <si>
    <t>cOGSStoreFulfilledexclInstoreBase</t>
  </si>
  <si>
    <t>305_COGS</t>
  </si>
  <si>
    <t>COGS (Store Fulfilled excl Instore)</t>
  </si>
  <si>
    <t>cOGSStoreFulfilledexclInstore</t>
  </si>
  <si>
    <t>{"node_x":["cOGSStoreFulfilledexclInstoreBase"]}</t>
  </si>
  <si>
    <t>103_INVAR</t>
  </si>
  <si>
    <t>Inventory Variances Input</t>
  </si>
  <si>
    <t>inventoryVariancesInput</t>
  </si>
  <si>
    <t>103_TRAN</t>
  </si>
  <si>
    <t>Transportation Costs Input</t>
  </si>
  <si>
    <t>transportationCostsInput</t>
  </si>
  <si>
    <t>provisionforShrink + otherCostofGoodsSold + royaltyandlicenseexpense</t>
  </si>
  <si>
    <t>INSTORE_INCLUB,OTHER,THIRD_PARTY_WEBSITE,CORE_SERVICES,SERVICES_PHYSICAL,SOFTWARE_SOLUTIONS,OTHER_LMD_3P_PLATFORM</t>
  </si>
  <si>
    <t>403_MERCHSALES</t>
  </si>
  <si>
    <t>Merchandise Income (Total Stores)</t>
  </si>
  <si>
    <t>merchandiseIncomeTotalStores</t>
  </si>
  <si>
    <t>{"node_x":["momerchandisesales"]}</t>
  </si>
  <si>
    <t>311_SERVINC</t>
  </si>
  <si>
    <t>Service Income (Total Stores)</t>
  </si>
  <si>
    <t>serviceIncomeTotalStores</t>
  </si>
  <si>
    <t>{"node_x":["moserviceincome"]}</t>
  </si>
  <si>
    <t>307_COGS</t>
  </si>
  <si>
    <t>COGS (Total Stores)</t>
  </si>
  <si>
    <t>cOGSTotalStores</t>
  </si>
  <si>
    <t>mobegInventoryatCost + moreceiptsatCostwithCash - moendingInventoryatCost</t>
  </si>
  <si>
    <t>111_MERCHOPS</t>
  </si>
  <si>
    <t>Total Gross Profit (MO)</t>
  </si>
  <si>
    <t>mototalGrossProfit</t>
  </si>
  <si>
    <t>mogrossprofit + moecommgrossprofit + mpgrossprofit</t>
  </si>
  <si>
    <t>112_MERCHOPS</t>
  </si>
  <si>
    <t>Total Net Sales (MO)</t>
  </si>
  <si>
    <t>mototalNetSales</t>
  </si>
  <si>
    <t>monetsales + moecommnetsales + mpnetsales + (moibgmlbaselinenetsales*0)</t>
  </si>
  <si>
    <t>113_MERCHOPS</t>
  </si>
  <si>
    <t>Total GMV (MO)</t>
  </si>
  <si>
    <t>mototalGMV</t>
  </si>
  <si>
    <t>mogmv + mpNetGMV + (moibgmlbaselinegmv*0)</t>
  </si>
  <si>
    <t>116_MERCHOPS</t>
  </si>
  <si>
    <t>IBG ML Baseline Net Sales</t>
  </si>
  <si>
    <t>moibgmlbaselinenetsales</t>
  </si>
  <si>
    <t>SHIP_FROM_STORE, UNSCHEDULED_DELIVERY, DSV_S2S, OWNED_S2S, UNSCHEDULED_PICKUP, INSTORE_INCLUB, NONE, OTHER_PHYSICAL, EXPRESS_DELIVERY, EVERGREEN_DELIVERY, INHOME_DELIVERY, SCHEDULED_DELIVERY, EXPRESS_PICKUP, SCHEDULED_PICKUP, WMT_INSTACART</t>
  </si>
  <si>
    <t>{"node_x":["netSales"]}</t>
  </si>
  <si>
    <t>117_MERCHOPS</t>
  </si>
  <si>
    <t>IBG ML Baseline GMV</t>
  </si>
  <si>
    <t>moibgmlbaselinegmv</t>
  </si>
  <si>
    <t>DSV_S2H, OWNED_S2H, DSV_S2S, OWNED_S2S, CORE_SERVICES</t>
  </si>
  <si>
    <t>101_MERCHOPS</t>
  </si>
  <si>
    <t>Store Gross Profit (MO)</t>
  </si>
  <si>
    <t>mogrossprofit</t>
  </si>
  <si>
    <t>monetsales - mocostofSales</t>
  </si>
  <si>
    <t>102_MERCHOPS</t>
  </si>
  <si>
    <t>Store Net Sales (MO)</t>
  </si>
  <si>
    <t>monetsales</t>
  </si>
  <si>
    <t>momerchandisesales + moserviceandcommissionincome + momobilephonecommissionincome + moothermerchandiseincome + mofinancialservicesincome + modiscounttosales</t>
  </si>
  <si>
    <t>101_MOMERCHSALES</t>
  </si>
  <si>
    <t>Merchandise Sales (MO)</t>
  </si>
  <si>
    <t>momerchandisesales</t>
  </si>
  <si>
    <t>FASHION, HARDLINES, HOME,  ENTERTAINMENT TOYS AND SEASONAL, CONSUMABLES, FOOD</t>
  </si>
  <si>
    <t>good</t>
  </si>
  <si>
    <t>MERCHOPS</t>
  </si>
  <si>
    <t>103_MOSERVINC</t>
  </si>
  <si>
    <t>Service and Commission Income (MO)</t>
  </si>
  <si>
    <t>moserviceandcommissionincome</t>
  </si>
  <si>
    <t>moserviceincome + mocommissionincome</t>
  </si>
  <si>
    <t>101_MOSERVINC</t>
  </si>
  <si>
    <t>Service Income (MO)</t>
  </si>
  <si>
    <t>moserviceincome</t>
  </si>
  <si>
    <t>101_MOCOMM</t>
  </si>
  <si>
    <t>Commission Income (MO)</t>
  </si>
  <si>
    <t>mocommissionincome</t>
  </si>
  <si>
    <t>101_MOMBCOMM</t>
  </si>
  <si>
    <t>Mobile Phone Commission Income (MO)</t>
  </si>
  <si>
    <t>momobilephonecommissionincome</t>
  </si>
  <si>
    <t>101_MOOMAS</t>
  </si>
  <si>
    <t>Other Merchandise Income (MO)</t>
  </si>
  <si>
    <t>moothermerchandiseincome</t>
  </si>
  <si>
    <t>4101031;4101070;4101095;4101130;4101310;4101320;4101330;</t>
  </si>
  <si>
    <t>101_MOFINSERV</t>
  </si>
  <si>
    <t>Financial Services Income (MO)</t>
  </si>
  <si>
    <t>mofinancialservicesincome</t>
  </si>
  <si>
    <t>4103009;4103022;4103024;4103027;4103030;4103031;4103032;4103034;4103036;4103043;4103001;4103003;4103004;4103007;4103011;4103020;4103021;4103023;4103025;4103028;4103029;4103033;4103035;4103037;4103041;4103042;4103050;4103038;</t>
  </si>
  <si>
    <t>104_MODISC</t>
  </si>
  <si>
    <t>Discounts to Sales (MO)</t>
  </si>
  <si>
    <t>modiscounttosales</t>
  </si>
  <si>
    <t>moassociatepurchasediscount + mocontrasales + mootherdiscounttosales</t>
  </si>
  <si>
    <t>101_MODISC</t>
  </si>
  <si>
    <t>Associate Purchase Discount (MO)</t>
  </si>
  <si>
    <t>moassociatepurchasediscount</t>
  </si>
  <si>
    <t>102_MODISC</t>
  </si>
  <si>
    <t>Contra-sales (MO)</t>
  </si>
  <si>
    <t>mocontrasales</t>
  </si>
  <si>
    <t>103_MODISC</t>
  </si>
  <si>
    <t>Other Discounts to Sales (MO)</t>
  </si>
  <si>
    <t>mootherdiscounttosales</t>
  </si>
  <si>
    <t>104_MERCHOPS</t>
  </si>
  <si>
    <t>Store Cost of Sales (MO)</t>
  </si>
  <si>
    <t>mocostofSales</t>
  </si>
  <si>
    <t>mocostofGoodsSold + moshrink - mototalAllowances + modcthrows</t>
  </si>
  <si>
    <t>110_MOCOGS</t>
  </si>
  <si>
    <t>Cost of Goods Sold (MO)</t>
  </si>
  <si>
    <t>mocostofGoodsSold</t>
  </si>
  <si>
    <t>mocogsscalingnode * (mobegInventoryatCost + moreceiptsatCostwithCash - moendingInventoryatCost)</t>
  </si>
  <si>
    <t>4501010;4501011;4501012</t>
  </si>
  <si>
    <t>229_MOCOGS</t>
  </si>
  <si>
    <t>COGS Scaling Node (MO)</t>
  </si>
  <si>
    <t>mocogsscalingnode</t>
  </si>
  <si>
    <t>mocOGSStoreFulfilled/mocOGSStoreFulfilledDeptGrain</t>
  </si>
  <si>
    <t>230_MOCOGS</t>
  </si>
  <si>
    <t>COGS Store Fulfilled (MO)</t>
  </si>
  <si>
    <t>mocOGSStoreFulfilled</t>
  </si>
  <si>
    <t>{"node_x":["cOGSCalculated"]}</t>
  </si>
  <si>
    <t>231_MOCOGS</t>
  </si>
  <si>
    <t>COGS Store Fulfilled (Dept Grain) (MO)</t>
  </si>
  <si>
    <t>mocOGSStoreFulfilledDeptGrain</t>
  </si>
  <si>
    <t>{"node_x":["mocOGSStoreFulfilled"]}</t>
  </si>
  <si>
    <t>111_MOCOGS</t>
  </si>
  <si>
    <t>Beg. Inventory at Cost (MO)</t>
  </si>
  <si>
    <t>mobegInventoryatCost</t>
  </si>
  <si>
    <t>{"var_period":1,"node_x":"moendingInventoryatCost"}</t>
  </si>
  <si>
    <t>lookback</t>
  </si>
  <si>
    <t>beginninginventoryatcostSOT</t>
  </si>
  <si>
    <t>2260_COGS</t>
  </si>
  <si>
    <t>Beginning Inventory at Cost SOT (MO)</t>
  </si>
  <si>
    <t>Unassigned</t>
  </si>
  <si>
    <t>112_MOCOGS</t>
  </si>
  <si>
    <t>Receipts at Cost (with Cash) (MO)</t>
  </si>
  <si>
    <t>moreceiptsatCostwithCash</t>
  </si>
  <si>
    <t>moreceiptsatCostwithoutCash + mocashCoop</t>
  </si>
  <si>
    <t>113_MOCOGS</t>
  </si>
  <si>
    <t>Receipts at Cost (without Cash) (MO)</t>
  </si>
  <si>
    <t>moreceiptsatCostwithoutCash</t>
  </si>
  <si>
    <t>115_MOCOGS</t>
  </si>
  <si>
    <t>Cash Co-op (MO)</t>
  </si>
  <si>
    <t>mocashCoop</t>
  </si>
  <si>
    <t>mocoops + modeals + momonthEndAccrual + mootherNonStoreReceipts</t>
  </si>
  <si>
    <t>103_MOCOGS</t>
  </si>
  <si>
    <t>Co-ops (MO)</t>
  </si>
  <si>
    <t>mocoops</t>
  </si>
  <si>
    <t>104_MOCOGS</t>
  </si>
  <si>
    <t>Deals (MO)</t>
  </si>
  <si>
    <t>modeals</t>
  </si>
  <si>
    <t>105_MOCOGS</t>
  </si>
  <si>
    <t>Month End Accrual (MO)</t>
  </si>
  <si>
    <t>momonthEndAccrual</t>
  </si>
  <si>
    <t>106_MOCOGS</t>
  </si>
  <si>
    <t>Other Non-Store Receipts (MO)</t>
  </si>
  <si>
    <t>mootherNonStoreReceipts</t>
  </si>
  <si>
    <t>116_MOCOGS</t>
  </si>
  <si>
    <t>Ending Inventory at Cost (MO)</t>
  </si>
  <si>
    <t>moendingInventoryatCost</t>
  </si>
  <si>
    <t>molevelofCalc + moendingInventoryatCostCalculated</t>
  </si>
  <si>
    <t>123_MOCOGS</t>
  </si>
  <si>
    <t>Level of Calc (MO)</t>
  </si>
  <si>
    <t>molevelofCalc</t>
  </si>
  <si>
    <t>(mobegInventoryatCost + moreceiptsatCostwithCash - endingInventoryatCostSOT) - moendingInventoryatCostCalculated</t>
  </si>
  <si>
    <t>226_COGS</t>
  </si>
  <si>
    <t>Ending Inventory at Cost SOT (MO)</t>
  </si>
  <si>
    <t>endingInventoryatCostSOT</t>
  </si>
  <si>
    <t>117_MOCOGS</t>
  </si>
  <si>
    <t>Ending Inventory at Cost (Calculated) (MO)</t>
  </si>
  <si>
    <t>moendingInventoryatCostCalculated</t>
  </si>
  <si>
    <t>moendingInventoryatRetail * (1-mocumMarginPct) + moendingInventoryatCostInput</t>
  </si>
  <si>
    <t>118_MOCOGS</t>
  </si>
  <si>
    <t>Ending Inventory at Retail (MO)</t>
  </si>
  <si>
    <t>moendingInventoryatRetail</t>
  </si>
  <si>
    <t>FASHION, HARDLINES, HOME,  ENTERTAINMENT TOYS AND SEASONAL, CONSUMABLES, 1_CANDY, 81_COM BREAD, 82_IMPULSE MERCHANDISE, 84_BALLOONS &amp; FLOWERS, 90_DAIRY, 91_FROZEN, 92_GROCERY, 95_DSD GROCERY, 96_LIQUOR, 97_WALL DELI</t>
  </si>
  <si>
    <t>mobegInventoryatRetail +  moreceiptsatRetail - momerchandisesalesstores - momarkdownsnet</t>
  </si>
  <si>
    <t>119_MOCOGS</t>
  </si>
  <si>
    <t>Beg. Inventory at Retail (MO)</t>
  </si>
  <si>
    <t>mobegInventoryatRetail</t>
  </si>
  <si>
    <t>{"var_period":1,"node_x":"moendingInventoryatRetail"}</t>
  </si>
  <si>
    <t>beginningInventoryatretailSOT</t>
  </si>
  <si>
    <t>1400_COGS</t>
  </si>
  <si>
    <t>Beginning Inventory at Retail SOT (MO)</t>
  </si>
  <si>
    <t>101_MOCOGS</t>
  </si>
  <si>
    <t>Receipts at Retail (MO)</t>
  </si>
  <si>
    <t>moreceiptsatRetail</t>
  </si>
  <si>
    <t>244_MOCOGS</t>
  </si>
  <si>
    <t>Merchandise Sales Stores (MO)</t>
  </si>
  <si>
    <t>momerchandisesalesstores</t>
  </si>
  <si>
    <t>121_MOCOGS</t>
  </si>
  <si>
    <t>Markdowns (MO)</t>
  </si>
  <si>
    <t>momarkdownsnet</t>
  </si>
  <si>
    <t>mostoreInitiatedMarkdowns + mohomeOfficeInitiatedMarkdowns</t>
  </si>
  <si>
    <t>239_MOCOGS</t>
  </si>
  <si>
    <t>Store Initiated Markdowns (MO)</t>
  </si>
  <si>
    <t>mostoreInitiatedMarkdowns</t>
  </si>
  <si>
    <t>240_MOCOGS</t>
  </si>
  <si>
    <t>Home Office Initiated Markdowns (MO)</t>
  </si>
  <si>
    <t>mohomeOfficeInitiatedMarkdowns</t>
  </si>
  <si>
    <t>122_MOCOGS</t>
  </si>
  <si>
    <t>Cum Margin % (MO)</t>
  </si>
  <si>
    <t>mocumMarginPct</t>
  </si>
  <si>
    <t>{"node_num1" : "mobegInventoryatCost", "node_num2" : "moyTDPurchasesCost", "node_den1" : "mobegInventoryatRetail", "node_den2": "moyTDPurchasesRetail"}</t>
  </si>
  <si>
    <t>cumulative_margin</t>
  </si>
  <si>
    <t>1- ((moendingInventoryatCostCalculated -moendingInventoryatCostInput)/moendingInventoryatRetail)</t>
  </si>
  <si>
    <t>227_COGS</t>
  </si>
  <si>
    <t>YTD Purchases Cost (MO)</t>
  </si>
  <si>
    <t>moyTDPurchasesCost</t>
  </si>
  <si>
    <t>{"var_mode":"sum_total","node_x":"mopurchasesCost"}</t>
  </si>
  <si>
    <t>year_to_date</t>
  </si>
  <si>
    <t>245_MOCOGS</t>
  </si>
  <si>
    <t>Purchases Cost (MO)</t>
  </si>
  <si>
    <t>mopurchasesCost</t>
  </si>
  <si>
    <t>moreceiptsatCostwithCoopsandDeals + moinventoryShrinkAdjustmentCost</t>
  </si>
  <si>
    <t>246_MOCOGS</t>
  </si>
  <si>
    <t>Receipts at Cost (with Co-ops and Deals) (MO)</t>
  </si>
  <si>
    <t>moreceiptsatCostwithCoopsandDeals</t>
  </si>
  <si>
    <t>moreceiptsatCostwithoutCash + mocoops +modeals</t>
  </si>
  <si>
    <t>242_MOCOGS</t>
  </si>
  <si>
    <t>Inventory Shrink Adjustment Cost (MO)</t>
  </si>
  <si>
    <t>moinventoryShrinkAdjustmentCost</t>
  </si>
  <si>
    <t>222_COGS</t>
  </si>
  <si>
    <t>YTD Purchases Retail (MO)</t>
  </si>
  <si>
    <t>moyTDPurchasesRetail</t>
  </si>
  <si>
    <t>{"var_mode":"sum_total","node_x":"mopurchasesRetail"}</t>
  </si>
  <si>
    <t>243_MOCOGS</t>
  </si>
  <si>
    <t>Purchases Retail (MO)</t>
  </si>
  <si>
    <t>mopurchasesRetail</t>
  </si>
  <si>
    <t>moreceiptsatRetail + moinventoryShrinkAdjustmentRetail</t>
  </si>
  <si>
    <t>241_MOCOGS</t>
  </si>
  <si>
    <t>Inventory Shrink Adjustment Retail (MO)</t>
  </si>
  <si>
    <t>moinventoryShrinkAdjustmentRetail</t>
  </si>
  <si>
    <t>109_MOCOGS</t>
  </si>
  <si>
    <t>Ending Inventory at Cost (Input) (MO)</t>
  </si>
  <si>
    <t>moendingInventoryatCostInput</t>
  </si>
  <si>
    <t>80_SERVICE DELI, 83_SEAFOOD, 93_MEAT, 94_PRODUCE, 98_BAKERY</t>
  </si>
  <si>
    <t>101_MOOTHCOS</t>
  </si>
  <si>
    <t>Shrink (MO)</t>
  </si>
  <si>
    <t>moshrink</t>
  </si>
  <si>
    <t>{"node_x":["provisionforShrink"]}</t>
  </si>
  <si>
    <t>104_MOBA</t>
  </si>
  <si>
    <t>Total Allowances (MO)</t>
  </si>
  <si>
    <t>mototalAllowances</t>
  </si>
  <si>
    <t>mopostAudit + mobuyingAllowances + mowarehouseAllowances + moimportAllowances + mootherCostofSales</t>
  </si>
  <si>
    <t>101_MOBA</t>
  </si>
  <si>
    <t>Post Audit (MO)</t>
  </si>
  <si>
    <t>mopostAudit</t>
  </si>
  <si>
    <t>102_MOBA</t>
  </si>
  <si>
    <t>Buying Allowances (MO)</t>
  </si>
  <si>
    <t>mobuyingAllowances</t>
  </si>
  <si>
    <t>4503005;4503065</t>
  </si>
  <si>
    <t>103_MOBA</t>
  </si>
  <si>
    <t>Warehouse Allowances (MO)</t>
  </si>
  <si>
    <t>mowarehouseAllowances</t>
  </si>
  <si>
    <t>105_MOBA</t>
  </si>
  <si>
    <t>Import Allowances (MO)</t>
  </si>
  <si>
    <t>moimportAllowances</t>
  </si>
  <si>
    <t>123_MOOTHCOS</t>
  </si>
  <si>
    <t>Other Cost of Sales (MO)</t>
  </si>
  <si>
    <t>mootherCostofSales</t>
  </si>
  <si>
    <t>4512001;4512002;4512006;4512008;4607020;4607030;4604020;4604030;4604040;4604050;4604060;4509005;4509006;4509007;4509008;4509010;4601010;4601020;4601030;4601110;4601120;4601130;4601140;4601150;4601160;4606020;4507001;4507002;4507003;4507005;4507009;4507010;4507011;4507012;4507013;4507014;4507015;4507017;4507018;4507019;4507021;4507022;4507023;4507024;4507025;4507031;4507032;4507033;4507034;4507036;4507041;4507042;4507043;4507044;4507045;4507046;4507047;4507051;4507053;4507061;4507062;4507063;4507068;4507071;4507072;4507073;4507081;4507082;4507083;4511002;4511003;4502010;4502015;4502020;4502025;4502030;4502035;4502040;4502045;4502050;4502060;4502061;4502070;4502071;4502080;4502081;ICBAL_Inventory;4513003;4513004;4513005;4513014;4513040;4513060;4513061;4513100;4504010;4505030;4605020;4605030;4605040;4605050;5101010_COGS;5101013_COGS;5101017_COGS;5101021_COGS;5101200_COGS;5101400_COGS;5101500_COGS;5101560_COGS;5101610_COGS;5101810_COGS;5101812_COGS;5102010_COGS;5102510_COGS;5103002_COGS;5103003_COGS;5103005_COGS;5104001_COGS;5104003_COGS;5104004_COGS;5104008_COGS;5105001_COGS;5106005_COGS;5106006_COGS;5106007_COGS;5106008_COGS;5106009_COGS;5107001_COGS;5107002_COGS;5108001_COGS;5108002_COGS;5109001_COGS;5109002_COGS;5109003_COGS;5109004_COGS;5109005_COGS;5110001_COGS;5110002_COGS;5111001_COGS;5111002_COGS;5111005_COGS;5111006_COGS;5111007_COGS;5111008_COGS;5112001_COGS;5112002_COGS;5112003_COGS;5112004_COGS;5112005_COGS;5112006_COGS;5112012_COGS;5112013_COGS;5112014_COGS;5112015_COGS;5112016_COGS;5201001_COGS;5201003_COGS;5201005_COGS;5201006_COGS;5201009_COGS;5201010_COGS;5201020_COGS;5201025_COGS;5201030_COGS;5201031_COGS;5201032_COGS;5201033_COGS;5201035_COGS;5201040_COGS;5201050_COGS;5201060_COGS;5201070_COGS;5201075_COGS;5201080_COGS;5201083_COGS;5201084_COGS;5201085_COGS;5202010_COGS;5202020_COGS;5203010_COGS;5203020_COGS;5203030_COGS;5301010_COGS;5301012_COGS;5301014_COGS;5301015_COGS;5301025_COGS;5301045_COGS;5301047_COGS;5301049_COGS;5301058_COGS;5302020_COGS;5302030_COGS;5302035_COGS;5302040_COGS;5302050_COGS;5302055_COGS;5302060_COGS;5302070_COGS;5302080_COGS;5302090_COGS;5302094_COGS;5302095_COGS;5302100_COGS;5302101_COGS;5302103_COGS;5302104_COGS;5302106_COGS;5302111_COGS;5302113_COGS;5302115_COGS;5302117_COGS;5302118_COGS;5302119_COGS;5302120_COGS;5302121_COGS;5302125_COGS;5401003_COGS;5401005_COGS;5401006_COGS;5401008_COGS;5401009_COGS;5401012_COGS;5401013_COGS;5401014_COGS;5401015_COGS;5401018_COGS;5401020_COGS;5401021_COGS;5401022_COGS;5401023_COGS;5401024_COGS;5401025_COGS;5401027_COGS;5401028_COGS;5401029_COGS;5401030_COGS;5401031_COGS;5401033_COGS;5401034_COGS;5401035_COGS;5401036_COGS;5401037_COGS;5401039_COGS;5401040_COGS;5401041_COGS;5401042_COGS;5401043_COGS;5401044_COGS;5401045_COGS;5401047_COGS;5401048_COGS;5401049_COGS;5401050_COGS;5401051_COGS;5401052_COGS;5401053_COGS;5401054_COGS;5401055_COGS;5401058_COGS;5401060_COGS;5401061_COGS;5401062_COGS;5401063_COGS;5401064_COGS;5401065_COGS;5401066_COGS;5401067_COGS;5401068_COGS;5401069_COGS;5401070_COGS;5401071_COGS;5401072_COGS;5401075_COGS;5401078_COGS;5401083_COGS;5401084_COGS;5401086_COGS;5401087_COGS;5401101_COGS;5401104_COGS;5401106_COGS;5402010_COGS;5402020_COGS;5402030_COGS;5402035_COGS;5402036_COGS;5402037_COGS;5402038_COGS;5402039_COGS;5402055_COGS;5403010_COGS;5403011_COGS;5403012_COGS;5403020_COGS;5404001_COGS;5404002_COGS;5405001_COGS;5405002_COGS;5501010_COGS;5501012_COGS;5501040_COGS;5501042_COGS;5501050_COGS;5501060_COGS;5501070_COGS;5501110_COGS;5502010_COGS;5502020_COGS;5502030_COGS;5502040_COGS;5502041_COGS;5502050_COGS;5502060_COGS;5502070_COGS;5502075_COGS;5502076_COGS;5502080_COGS;5503010_COGS;5504010_COGS;5504020_COGS;5504040_COGS;5504060_COGS;5504061_COGS;5505010_COGS;5505011_COGS;5505020_COGS;5505030_COGS;5505037_COGS;5505040_COGS;5505042_COGS;5505070_COGS;5505073_COGS;5505075_COGS;5507001_COGS;5508001_COGS;5508007_COGS;5508008_COGS;5508009_COGS;5601010_COGS;5601020_COGS;5601030_COGS;5602010_COGS;5602090_COGS;5603003_COGS;5604001_COGS;5604002_COGS;5604003_COGS;5604004_COGS;5605001_COGS;5605002_COGS;5605003_COGS;5605004_COGS;5605015_COGS;5606001_COGS;5801020_COGS;5801030_COGS;5801050_COGS;5801060_COGS;5801190_COGS;5801226_COGS;5801227_COGS;5802020_COGS;5803010_COGS;5803020_COGS;5803021_COGS;5803030_COGS;5804002_COGS;5804006_COGS;5804007_COGS;5804011_COGS;5804040_COGS;5804042_COGS;5804046_COGS;5804050_COGS;5804063_COGS;5804064_COGS;5804081_COGS;5804086_COGS;5805030_COGS;5805080_COGS;5806036_COGS;5990056_COGS;4506048;4506049;4506050;4506051;4506052;4506055;4506060;4506065;4508001;4508002;4508003;4508004;4508005;4508006;4508007;4508008;4508009;4508010;4508011;4508012;4508013;4508014;4508015;4508016;4508017;4508018;4508019;4508020;4508021;4508022;4602010;4602020;4602050;4602060;4602062;4602064;4602066;4602068;4602070;4602080;4602090;4602110;4602120;4602130;4602140;4602150;4602155;4602160;</t>
  </si>
  <si>
    <t>101_MODCTHROWS</t>
  </si>
  <si>
    <t>DC Throws (MO)</t>
  </si>
  <si>
    <t>modcthrows</t>
  </si>
  <si>
    <t>105_MERCHOPS</t>
  </si>
  <si>
    <t>IMU% without Cash (MO)</t>
  </si>
  <si>
    <t>moiMUPctwithoutCash</t>
  </si>
  <si>
    <t>1 - (moreceiptsatCostwithoutCash/moreceiptsatRetail)</t>
  </si>
  <si>
    <t>106_MERCHOPS</t>
  </si>
  <si>
    <t>IMU % with Cash (MO)</t>
  </si>
  <si>
    <t>moiMUPctwithCash</t>
  </si>
  <si>
    <t>1 - (moreceiptsatCostwithCash/moreceiptsatRetail)</t>
  </si>
  <si>
    <t>107_MERCHOPS</t>
  </si>
  <si>
    <t>Markdown % at Cost (MO)</t>
  </si>
  <si>
    <t>momarkdownPctatCost</t>
  </si>
  <si>
    <t>(1-moiMUPctwithCash)*(momarkdownsnet/monetsalesdeptgrain)</t>
  </si>
  <si>
    <t>(1-moiMUPctwithCash)*(momarkdownsnet/monetsales)</t>
  </si>
  <si>
    <t>108_MERCHOPS</t>
  </si>
  <si>
    <t>Hidden Shrink % (MO)</t>
  </si>
  <si>
    <t>mohiddenShrinkPct</t>
  </si>
  <si>
    <t>moiMUPctwithCash - momarkdownPctatCost - mogPOSPct</t>
  </si>
  <si>
    <t>109_MERCHOPS</t>
  </si>
  <si>
    <t>GPOS % (MO)</t>
  </si>
  <si>
    <t>mogPOSPct</t>
  </si>
  <si>
    <t>(monetsalesdeptgrain-mocostofgooldssolddeptgrain)/monetsalesdeptgrain</t>
  </si>
  <si>
    <t>(monetsales-mocostofGoodsSold)/monetsales</t>
  </si>
  <si>
    <t>110_MERCHOPS</t>
  </si>
  <si>
    <t>Cost Complement (MO)</t>
  </si>
  <si>
    <t>mocostComplement</t>
  </si>
  <si>
    <t>1-mocumMarginPct</t>
  </si>
  <si>
    <t>114_MERCHOPS</t>
  </si>
  <si>
    <t>Store Net Sales [dept grain] (MO)</t>
  </si>
  <si>
    <t>monetsalesdeptgrain</t>
  </si>
  <si>
    <t>{"node_x":["monetsales"]}</t>
  </si>
  <si>
    <t>115_MERCHOPS</t>
  </si>
  <si>
    <t>Cost of Goods Sold [dept grain] (MO)</t>
  </si>
  <si>
    <t>mocostofgooldssolddeptgrain</t>
  </si>
  <si>
    <t>{"node_x":["mocostofGoodsSold"]}</t>
  </si>
  <si>
    <t>106_MOGMV</t>
  </si>
  <si>
    <t>eComm GMV (MO)</t>
  </si>
  <si>
    <t>mogMV</t>
  </si>
  <si>
    <t>mogMVShipped + mogMVServices + mogMVReturnsShipped + mogMVOther</t>
  </si>
  <si>
    <t>101_MOGMV</t>
  </si>
  <si>
    <t>GMV Shipped (MO)</t>
  </si>
  <si>
    <t>mogMVShipped</t>
  </si>
  <si>
    <t>102_MOGMV</t>
  </si>
  <si>
    <t>GMV Services (MO)</t>
  </si>
  <si>
    <t>mogMVServices</t>
  </si>
  <si>
    <t>104_MOGMV</t>
  </si>
  <si>
    <t>GMV Returns Shipped (MO)</t>
  </si>
  <si>
    <t>mogMVReturnsShipped</t>
  </si>
  <si>
    <t>105_MOGMV</t>
  </si>
  <si>
    <t>GMV Other (MO)</t>
  </si>
  <si>
    <t>mogMVOther</t>
  </si>
  <si>
    <t>1011_MERCHOPS</t>
  </si>
  <si>
    <t>eComm Gross Profit (MO)</t>
  </si>
  <si>
    <t>moeCommGrossProfit</t>
  </si>
  <si>
    <t>moeCommNetSales - moeCommCostofsales</t>
  </si>
  <si>
    <t>1021_MERCHOPS</t>
  </si>
  <si>
    <t>eComm Net Sales (MO)</t>
  </si>
  <si>
    <t>moeCommNetSales</t>
  </si>
  <si>
    <t>moeCommMerchandiseSales + moeCommServiceIncome + moeCommReturnsCSATrans + moeCommOtherIncome</t>
  </si>
  <si>
    <t>1011_MOMERCHSALES</t>
  </si>
  <si>
    <t>eComm Merchandise Sales (MO)</t>
  </si>
  <si>
    <t>moeCommMerchandiseSales</t>
  </si>
  <si>
    <t>1011_MOSERVINC</t>
  </si>
  <si>
    <t>eComm Service Income (MO)</t>
  </si>
  <si>
    <t>moeCommServiceIncome</t>
  </si>
  <si>
    <t>101_MOREFUNDS</t>
  </si>
  <si>
    <t>eComm Returns/CSA Trans (MO)</t>
  </si>
  <si>
    <t>moeCommReturnsCSATrans</t>
  </si>
  <si>
    <t>101_MOOTHSALES</t>
  </si>
  <si>
    <t>eComm Other Income (MO)</t>
  </si>
  <si>
    <t>moeCommOtherIncome</t>
  </si>
  <si>
    <t>1041_MERCHOPS</t>
  </si>
  <si>
    <t>eComm Cost of sales (MO)</t>
  </si>
  <si>
    <t>moeCommCostofsales</t>
  </si>
  <si>
    <t>moeCommMerchandiseCogs + moeCommCoops + moeCommShippingExpense + moeCommReturnsCOGS + moeCommOtherCostofSales</t>
  </si>
  <si>
    <t>1101_MOCOGS</t>
  </si>
  <si>
    <t>eComm Merchandise Cogs (MO)</t>
  </si>
  <si>
    <t>moeCommMerchandiseCogs</t>
  </si>
  <si>
    <t>1031_MOCOGS</t>
  </si>
  <si>
    <t>eComm Co-ops (MO)</t>
  </si>
  <si>
    <t>moeCommCoops</t>
  </si>
  <si>
    <t>1011_MOSHIPEX</t>
  </si>
  <si>
    <t>eComm Shipping Expense (MO)</t>
  </si>
  <si>
    <t>moeCommShippingExpense</t>
  </si>
  <si>
    <t>102_MOREFUNDS</t>
  </si>
  <si>
    <t>eComm Returns COGS (MO)</t>
  </si>
  <si>
    <t>moeCommReturnsCOGS</t>
  </si>
  <si>
    <t>1231_MOOTHCOS</t>
  </si>
  <si>
    <t>eComm Other Cost of Sales (MO)</t>
  </si>
  <si>
    <t>moeCommOtherCostofSales</t>
  </si>
  <si>
    <t>SELLER_FULFILLED,LOCAL_MARKETPLACE,WALMART_FULFILLMENT_SERVICES</t>
  </si>
  <si>
    <t>MARKETPLACE</t>
  </si>
  <si>
    <t>106_REFU</t>
  </si>
  <si>
    <t>Non-driver Inputs (Refunds)</t>
  </si>
  <si>
    <t>nondriverInputsRefunds</t>
  </si>
  <si>
    <t>INSTORE_INCLUB, WMT_PHARMACY_RX</t>
  </si>
  <si>
    <t>38_PHARMACY RX</t>
  </si>
  <si>
    <t>1002_SBA</t>
  </si>
  <si>
    <t>RX</t>
  </si>
  <si>
    <t>105_SHIPEX</t>
  </si>
  <si>
    <t>Shipping Expense Calculated (non-driver input)</t>
  </si>
  <si>
    <t>shippingExpenseCalculatednondriverinput</t>
  </si>
  <si>
    <t>113_DISC</t>
  </si>
  <si>
    <t>Non-driver Inputs (Discounts to Sales)</t>
  </si>
  <si>
    <t>nondriverInputsDiscountstoSales</t>
  </si>
  <si>
    <t>239_COGS</t>
  </si>
  <si>
    <t>Non-driver Inputs (COGS)</t>
  </si>
  <si>
    <t>nondriverInputsCOGS</t>
  </si>
  <si>
    <t>nondriverInputsServiceIncome</t>
  </si>
  <si>
    <t>101_PHARMACY</t>
  </si>
  <si>
    <t>RX Scripts</t>
  </si>
  <si>
    <t>rXScripts</t>
  </si>
  <si>
    <t>retailSpecialtyRxCount+managedSpecialtyRxCount+brandRxBASECountnoSpecIMZ+iMZRxCount+genericRxCount</t>
  </si>
  <si>
    <t>132_MERCHSALES</t>
  </si>
  <si>
    <t>Retail Specialty Rx Count</t>
  </si>
  <si>
    <t>retailSpecialtyRxCount</t>
  </si>
  <si>
    <t>137_MERCHSALES</t>
  </si>
  <si>
    <t>Managed Specialty Rx Count</t>
  </si>
  <si>
    <t>managedSpecialtyRxCount</t>
  </si>
  <si>
    <t>127_MERCHSALES</t>
  </si>
  <si>
    <t>Brand Rx BASE Count (no Spec/IMZ)</t>
  </si>
  <si>
    <t>brandRxBASECountnoSpecIMZ</t>
  </si>
  <si>
    <t>142_MERCHSALES</t>
  </si>
  <si>
    <t>IMZ Rx Count</t>
  </si>
  <si>
    <t>iMZRxCount</t>
  </si>
  <si>
    <t>147_MERCHSALES</t>
  </si>
  <si>
    <t>Generic Rx Count</t>
  </si>
  <si>
    <t>genericRxCount</t>
  </si>
  <si>
    <t>108_SHIPEX</t>
  </si>
  <si>
    <t>Shipping Expense Calculated GP</t>
  </si>
  <si>
    <t>shippingExpenseCalculatedGP</t>
  </si>
  <si>
    <t>deptAllocationPctShippingExpense*shippingExpenseChannelGP+shippingExpenseCalculatednondriverinput</t>
  </si>
  <si>
    <t>171_SHIPEX</t>
  </si>
  <si>
    <t>Dept Allocation % (Shipping Expense)</t>
  </si>
  <si>
    <t>deptAllocationPctShippingExpense</t>
  </si>
  <si>
    <t>15_ELECTRIC VEHICLE CHARGING ,-999_UNKNOWN,1_CANDY,2_PERSONAL CARE,3_STATIONERY,4_HOUSEHOLD PAPER,5_MEDIA AND GAMING,6_CAMERAS &amp; SUPPLIES,7_TOYS,8_PETS &amp; SUPPLIES,9_SPORTING GOODS,10_AUTOMOTIVE,11_HARDWARE,12_PAINT &amp; ACCESSORIES,13_CLEANING,14_COOK AND DINE</t>
  </si>
  <si>
    <t>deptAllocationPctbasegrain/deptAllocationPctmonthchannelgrain</t>
  </si>
  <si>
    <t>LAST MILE DELIVERY</t>
  </si>
  <si>
    <t>1711_SHIPEX</t>
  </si>
  <si>
    <t>Dept Allocation % (month,channel grain)</t>
  </si>
  <si>
    <t>deptAllocationPctmonthchannelgrain</t>
  </si>
  <si>
    <t>{"node_x":["deptAllocationPctbasegrain"]}</t>
  </si>
  <si>
    <t>1712_SHIPEX</t>
  </si>
  <si>
    <t>Dept Allocation % (base grain)</t>
  </si>
  <si>
    <t>deptAllocationPctbasegrain</t>
  </si>
  <si>
    <t>172_SHIPEX</t>
  </si>
  <si>
    <t>Shipping Expense (Channel)</t>
  </si>
  <si>
    <t>shippingExpenseChannel</t>
  </si>
  <si>
    <t>shipping+delivery</t>
  </si>
  <si>
    <t>173_SHIPEX</t>
  </si>
  <si>
    <t>Shipping Expense (Channel) GP</t>
  </si>
  <si>
    <t>shippingExpenseChannelGP</t>
  </si>
  <si>
    <t>shipping+sparkAPDeliveryExpense+dSPDeliveryExpense+deliverySparkOverflow+deliveryExpressEvergreen</t>
  </si>
  <si>
    <t>140_SHIPEX</t>
  </si>
  <si>
    <t>Shipping</t>
  </si>
  <si>
    <t>shipping</t>
  </si>
  <si>
    <t>OWNED_S2H,OWNED_S2S,DSV_S2H,DSV_S2S,SHIP_FROM_STORE,WALMART_FULFILLMENT_SERVICES</t>
  </si>
  <si>
    <t>costperPackage*packages</t>
  </si>
  <si>
    <t>141_SHIPEX</t>
  </si>
  <si>
    <t>Cost per Package</t>
  </si>
  <si>
    <t>costperPackage</t>
  </si>
  <si>
    <t>shipping/packages</t>
  </si>
  <si>
    <t>UNSCHEDULED AND CORE, MARKETPLACE,RX,OPTICAL,ECOMMERCE,DATA VENTURES,E2E DELIVERY,INNOVATION &amp; AUTOMATION,CORE_SERVICES,OPERATIONS</t>
  </si>
  <si>
    <t>1002_SHIPEX</t>
  </si>
  <si>
    <t>Packages</t>
  </si>
  <si>
    <t>packages</t>
  </si>
  <si>
    <t>unitsLMDShipping/unitsperpackage</t>
  </si>
  <si>
    <t>143_SHIPEX</t>
  </si>
  <si>
    <t>Units per package</t>
  </si>
  <si>
    <t>unitsperpackage</t>
  </si>
  <si>
    <t>unitsLMDShipping/packages</t>
  </si>
  <si>
    <t>144_SHIPEX</t>
  </si>
  <si>
    <t>Delivery</t>
  </si>
  <si>
    <t>delivery</t>
  </si>
  <si>
    <t>UNSCHEDULED_DELIVERY,SCHEDULED_DELIVERY,EXPRESS_DELIVERY, EVERGREEN_DELIVERY</t>
  </si>
  <si>
    <t>sparkAPDeliveryExpense+dSPDeliveryExpense+sparkOverflowDeliveryExpense+expressEvergreenDeliveryExpense</t>
  </si>
  <si>
    <t>4505015, 4505015_SGNA</t>
  </si>
  <si>
    <t>145_SHIPEX</t>
  </si>
  <si>
    <t>Spark - AP Delivery Expense</t>
  </si>
  <si>
    <t>sparkAPDeliveryExpense</t>
  </si>
  <si>
    <t>UNSCHEDULED_DELIVERY,SCHEDULED_DELIVERY</t>
  </si>
  <si>
    <t>deliveriesSparkAP*costperDeliverySparkAP</t>
  </si>
  <si>
    <t>182_SHIPEX</t>
  </si>
  <si>
    <t>Cost per Delivery (Spark - AP)</t>
  </si>
  <si>
    <t>costperDeliverySparkAP</t>
  </si>
  <si>
    <t>sparkAPDeliveryExpense/deliveriesSparkAP</t>
  </si>
  <si>
    <t>SCHEDULED, UNSCHEDULED AND CORE,RX,OPTICAL,ECOMMERCE,DATA VENTURES,E2E DELIVERY,INNOVATION &amp; AUTOMATION,CORE_SERVICES,OPERATIONS</t>
  </si>
  <si>
    <t>189_SHIPEX</t>
  </si>
  <si>
    <t>Deliveries (Spark - AP)</t>
  </si>
  <si>
    <t>deliveriesSparkAP</t>
  </si>
  <si>
    <t>sparkAPPctofDeliveries*deliveries</t>
  </si>
  <si>
    <t>176_SHIPEX</t>
  </si>
  <si>
    <t>Spark - AP % of Deliveries</t>
  </si>
  <si>
    <t>sparkAPPctofDeliveries</t>
  </si>
  <si>
    <t>deliveriesSparkAP/deliveries</t>
  </si>
  <si>
    <t>184_SHIPEX</t>
  </si>
  <si>
    <t>Deliveries</t>
  </si>
  <si>
    <t>deliveries</t>
  </si>
  <si>
    <t>unitsLMDDelivery/unitsperDelivery</t>
  </si>
  <si>
    <t>23_UFM</t>
  </si>
  <si>
    <t>Units per Delivery</t>
  </si>
  <si>
    <t>unitsperDelivery</t>
  </si>
  <si>
    <t>unitsLMDDelivery/deliveries</t>
  </si>
  <si>
    <t>149_SHIPEX</t>
  </si>
  <si>
    <t>DSP - Delivery Expense</t>
  </si>
  <si>
    <t>dSPDeliveryExpense</t>
  </si>
  <si>
    <t>deliveriesDSP*costperDeliveryDSP</t>
  </si>
  <si>
    <t>183_SHIPEX</t>
  </si>
  <si>
    <t>Cost per Delivery (DSP)</t>
  </si>
  <si>
    <t>costperDeliveryDSP</t>
  </si>
  <si>
    <t>dSPDeliveryExpense/deliveriesDSP</t>
  </si>
  <si>
    <t>190_SHIPEX</t>
  </si>
  <si>
    <t>Deliveries (DSP)</t>
  </si>
  <si>
    <t>deliveriesDSP</t>
  </si>
  <si>
    <t>dSPPctofDeliveries*deliveries</t>
  </si>
  <si>
    <t>186_SHIPEX</t>
  </si>
  <si>
    <t>DSP % of Deliveries</t>
  </si>
  <si>
    <t>dSPPctofDeliveries</t>
  </si>
  <si>
    <t>1-sparkAPPctofDeliveries-sparkOverflowPctofDeliveries</t>
  </si>
  <si>
    <t>deliveriesDSP/deliveries</t>
  </si>
  <si>
    <t>155_SHIPEX</t>
  </si>
  <si>
    <t>Spark - Overflow Delivery Expense Total</t>
  </si>
  <si>
    <t>sparkOverflowDeliveryExpense</t>
  </si>
  <si>
    <t>SCHEDULED_DELIVERY</t>
  </si>
  <si>
    <t>deliverySparkOverflow+pickingSparkOverflow</t>
  </si>
  <si>
    <t>156_SHIPEX</t>
  </si>
  <si>
    <t>Delivery (Spark - Overflow) Expense</t>
  </si>
  <si>
    <t>deliverySparkOverflow</t>
  </si>
  <si>
    <t>deliveriesSparkOverflow*costperDeliveryDeliverySparkOverflow</t>
  </si>
  <si>
    <t>177_SHIPEX</t>
  </si>
  <si>
    <t>Cost per Delivery (Delivery Spark - Overflow)</t>
  </si>
  <si>
    <t>costperDeliveryDeliverySparkOverflow</t>
  </si>
  <si>
    <t>deliverySparkOverflow/(deliveriesSparkOverflow)</t>
  </si>
  <si>
    <t>SCHEDULED,RX,OPTICAL,ECOMMERCE,DATA VENTURES,E2E DELIVERY,INNOVATION &amp; AUTOMATION,CORE_SERVICES,OPERATIONS</t>
  </si>
  <si>
    <t>191_SHIPEX</t>
  </si>
  <si>
    <t>Deliveries (Spark - Overflow)</t>
  </si>
  <si>
    <t>deliveriesSparkOverflow</t>
  </si>
  <si>
    <t>deliveries*sparkOverflowPctofDeliveries</t>
  </si>
  <si>
    <t>175_SHIPEX</t>
  </si>
  <si>
    <t>Spark - Overflow % of Deliveries</t>
  </si>
  <si>
    <t>sparkOverflowPctofDeliveries</t>
  </si>
  <si>
    <t>deliveriesSparkOverflow/deliveries</t>
  </si>
  <si>
    <t>160_SHIPEX</t>
  </si>
  <si>
    <t>Picking (Spark - Overflow) Expense</t>
  </si>
  <si>
    <t>pickingSparkOverflow</t>
  </si>
  <si>
    <t>costperDeliveryPickingSparkOverflow*deliveriesSparkOverflow</t>
  </si>
  <si>
    <t>4505015_SGNA</t>
  </si>
  <si>
    <t>179_SHIPEX</t>
  </si>
  <si>
    <t>Cost per Delivery (Picking Spark - Overflow)</t>
  </si>
  <si>
    <t>costperDeliveryPickingSparkOverflow</t>
  </si>
  <si>
    <t>pickingSparkOverflow/deliveriesSparkOverflow</t>
  </si>
  <si>
    <t>164_SHIPEX</t>
  </si>
  <si>
    <t>Express/Evergreen Delivery Expense</t>
  </si>
  <si>
    <t>expressEvergreenDeliveryExpense</t>
  </si>
  <si>
    <t>EXPRESS_DELIVERY, EVERGREEN_DELIVERY</t>
  </si>
  <si>
    <t>deliveryExpressEvergreen+pickingExpressEvergreen</t>
  </si>
  <si>
    <t>165_SHIPEX</t>
  </si>
  <si>
    <t>Delivery (Express/Evergreen)</t>
  </si>
  <si>
    <t>deliveryExpressEvergreen</t>
  </si>
  <si>
    <t>deliveries*costperDeliveryDeliveryExpressEvergreen</t>
  </si>
  <si>
    <t>180_SHIPEX</t>
  </si>
  <si>
    <t>Cost per Delivery (Delivery Express/Evergreen)</t>
  </si>
  <si>
    <t>costperDeliveryDeliveryExpressEvergreen</t>
  </si>
  <si>
    <t>deliveryExpressEvergreen/deliveries</t>
  </si>
  <si>
    <t>168_SHIPEX</t>
  </si>
  <si>
    <t>Picking (Express/Evergreen)</t>
  </si>
  <si>
    <t>pickingExpressEvergreen</t>
  </si>
  <si>
    <t>deliveries*costperDeliveryPickingExpressEvergreen</t>
  </si>
  <si>
    <t>181_SHIPEX</t>
  </si>
  <si>
    <t>Cost per Delivery (Picking Express/Evergreen)</t>
  </si>
  <si>
    <t>costperDeliveryPickingExpressEvergreen</t>
  </si>
  <si>
    <t>pickingExpressEvergreen/deliveries</t>
  </si>
  <si>
    <t>1000_LMD</t>
  </si>
  <si>
    <t>LMD Metrics</t>
  </si>
  <si>
    <t>lMDMetrics</t>
  </si>
  <si>
    <t>(unitsLMD+ordersLMDBaseChannel+packages+deliveries+totalShippingExpense+shipping+delivery+costperPackage+costperDelivery+blendedCostperPackageDelivery+unitsperpackage+unitsperDelivery+unitsperOrderUPO)*0</t>
  </si>
  <si>
    <t>1001_LMD</t>
  </si>
  <si>
    <t>Units (LMD)</t>
  </si>
  <si>
    <t>unitsLMD</t>
  </si>
  <si>
    <t>unitsLMDShipping+unitsLMDDelivery</t>
  </si>
  <si>
    <t>1002_LMD</t>
  </si>
  <si>
    <t>Orders (LMD Base Channel)</t>
  </si>
  <si>
    <t>ordersLMDBaseChannel</t>
  </si>
  <si>
    <t>{"node_x":["baseChannelOrderCount"]}</t>
  </si>
  <si>
    <t>1003_LMD</t>
  </si>
  <si>
    <t>Total Shipping Expense</t>
  </si>
  <si>
    <t>totalShippingExpense</t>
  </si>
  <si>
    <t>1005_LMD</t>
  </si>
  <si>
    <t>Cost per Delivery</t>
  </si>
  <si>
    <t>costperDelivery</t>
  </si>
  <si>
    <t>delivery/deliveries</t>
  </si>
  <si>
    <t>1006_LMD</t>
  </si>
  <si>
    <t>Blended Cost per Package/Delivery</t>
  </si>
  <si>
    <t>blendedCostperPackageDelivery</t>
  </si>
  <si>
    <t>shippingExpenseChannel/(packages+deliveries)</t>
  </si>
  <si>
    <t>1008_LMD</t>
  </si>
  <si>
    <t>Units per Order (UPO)</t>
  </si>
  <si>
    <t>unitsperOrderUPO</t>
  </si>
  <si>
    <t>unitsLMD/ordersLMDBaseChannel</t>
  </si>
  <si>
    <t>1009_LMD</t>
  </si>
  <si>
    <t>Units (LMD Shipping)</t>
  </si>
  <si>
    <t>unitsLMDShipping</t>
  </si>
  <si>
    <t>{"node_x":["unitsGrossUOMexPhoto"]}</t>
  </si>
  <si>
    <t>1010_LMD</t>
  </si>
  <si>
    <t>Units (LMD Delivery)</t>
  </si>
  <si>
    <t>unitsLMDDelivery</t>
  </si>
  <si>
    <t>1011_LMD</t>
  </si>
  <si>
    <t>Units (Gross UOM ex Photo)</t>
  </si>
  <si>
    <t>unitsGrossUOMexPhoto</t>
  </si>
  <si>
    <t>17_SGAA</t>
  </si>
  <si>
    <t>[02.01] Long-Term Bonus</t>
  </si>
  <si>
    <t>longTermBonusPk0201</t>
  </si>
  <si>
    <t>1000_SBA</t>
  </si>
  <si>
    <t>SEGMENT</t>
  </si>
  <si>
    <t>19_SGAA</t>
  </si>
  <si>
    <t>[02.02] Field Incentive Expense</t>
  </si>
  <si>
    <t>fieldIncentiveExpensePk0202</t>
  </si>
  <si>
    <t>20_SGAA</t>
  </si>
  <si>
    <t>[02.03] Pharmacy Incentive Expense</t>
  </si>
  <si>
    <t>pharmacyIncentiveExpensePk0203</t>
  </si>
  <si>
    <t>21_SGAA</t>
  </si>
  <si>
    <t>[02.04] Warehouse Incentive Expense</t>
  </si>
  <si>
    <t>warehouseIncentiveExpensePk0204</t>
  </si>
  <si>
    <t>22_SGAA</t>
  </si>
  <si>
    <t>[02.05] MIP Bonus Expense</t>
  </si>
  <si>
    <t>mIPBonusExpensePk0205</t>
  </si>
  <si>
    <t>18_SGAA</t>
  </si>
  <si>
    <t>[02.06] Stock Purchase Plan Contribution</t>
  </si>
  <si>
    <t>stockPurchasePlanContributionPk0206</t>
  </si>
  <si>
    <t>24_SGAA</t>
  </si>
  <si>
    <t>[03.01] Health Benefits/Life Insurance</t>
  </si>
  <si>
    <t>healthBenefitsLifeInsurancePk0301</t>
  </si>
  <si>
    <t>25_SGAA</t>
  </si>
  <si>
    <t>[03.02] Retirement Plan</t>
  </si>
  <si>
    <t>retirementPlanPk0302</t>
  </si>
  <si>
    <t>26_SGAA</t>
  </si>
  <si>
    <t>[03.03] Other Associate Benefits</t>
  </si>
  <si>
    <t>otherAssociateBenefitsPk0303</t>
  </si>
  <si>
    <t>27_SGAA</t>
  </si>
  <si>
    <t>[03.04] Deferred Interest</t>
  </si>
  <si>
    <t>deferredInterestPk0304</t>
  </si>
  <si>
    <t>29_SGAA</t>
  </si>
  <si>
    <t>[04.01] Training</t>
  </si>
  <si>
    <t>traningPk0401</t>
  </si>
  <si>
    <t>30_SGAA</t>
  </si>
  <si>
    <t>[04.02] Recruitment</t>
  </si>
  <si>
    <t>recruitmentPk0402</t>
  </si>
  <si>
    <t>31_SGAA</t>
  </si>
  <si>
    <t>[04.03] Job Screening</t>
  </si>
  <si>
    <t>jobScreening0403</t>
  </si>
  <si>
    <t>32_SGAA</t>
  </si>
  <si>
    <t>[04.04] Workplace Benefits</t>
  </si>
  <si>
    <t>workplaceBenefitsPk0404</t>
  </si>
  <si>
    <t>33_SGAA</t>
  </si>
  <si>
    <t>[04.05] Associate Relations/Individual Benefits</t>
  </si>
  <si>
    <t>associateRelationsIndividualBenefitsPk0405</t>
  </si>
  <si>
    <t>34_SGAA</t>
  </si>
  <si>
    <t>[04.07] Individual Dues; Subscriptions &amp; Licenses</t>
  </si>
  <si>
    <t>individualDuesSubscriptionsandLicensesPk0407</t>
  </si>
  <si>
    <t>36_SGAA</t>
  </si>
  <si>
    <t>[05.01] Electric Service</t>
  </si>
  <si>
    <t>electricServicePk0501</t>
  </si>
  <si>
    <t>37_SGAA</t>
  </si>
  <si>
    <t>[05.02] Gas Service</t>
  </si>
  <si>
    <t>gasServicePk0502</t>
  </si>
  <si>
    <t>38_SGAA</t>
  </si>
  <si>
    <t>[05.03] Water/Sewer/Irrigation</t>
  </si>
  <si>
    <t>waterSewerIrrigationPk0503</t>
  </si>
  <si>
    <t>39_SGAA</t>
  </si>
  <si>
    <t>[05.04] Waste Removal</t>
  </si>
  <si>
    <t>wasteRemovalPk0504</t>
  </si>
  <si>
    <t>40_SGAA</t>
  </si>
  <si>
    <t>[05.05] Recycling &amp; Sustainability</t>
  </si>
  <si>
    <t>recyclingandSustainabilityPk0505</t>
  </si>
  <si>
    <t>41_SGAA</t>
  </si>
  <si>
    <t>[05.06] Common Area Maintenance - Utilities</t>
  </si>
  <si>
    <t>commonAreaMaintenanceUtilitiesPk0506</t>
  </si>
  <si>
    <t>42_SGAA</t>
  </si>
  <si>
    <t>[05.07] Utilities Expense - Pre-Opening</t>
  </si>
  <si>
    <t>utilitiesExpensePreOpeningPk0507</t>
  </si>
  <si>
    <t>43_SGAA</t>
  </si>
  <si>
    <t>[05.08] Other Utility Expense</t>
  </si>
  <si>
    <t>otherUtilitiyExpensePk0508</t>
  </si>
  <si>
    <t>44_SGAA</t>
  </si>
  <si>
    <t>[05.09] Reimbursed Utilities</t>
  </si>
  <si>
    <t>reimbursedUtilitiesPk0509</t>
  </si>
  <si>
    <t>46_SGAA</t>
  </si>
  <si>
    <t>[06.01] Property Lease</t>
  </si>
  <si>
    <t>propertyLeasePk0601</t>
  </si>
  <si>
    <t>47_SGAA</t>
  </si>
  <si>
    <t>[06.02] Variable Lease</t>
  </si>
  <si>
    <t>variableLeasePk0602</t>
  </si>
  <si>
    <t>93_SGAA</t>
  </si>
  <si>
    <t>[10.01] Electronic Payment Acceptance Fees</t>
  </si>
  <si>
    <t>electronicPaymentAcceptanceFeesPk1001</t>
  </si>
  <si>
    <t>94_SGAA</t>
  </si>
  <si>
    <t>[10.02] Bank Fees</t>
  </si>
  <si>
    <t>bankFees1002</t>
  </si>
  <si>
    <t>95_SGAA</t>
  </si>
  <si>
    <t>[10.03] Armored Carriers</t>
  </si>
  <si>
    <t>armoredCarriersPK1003</t>
  </si>
  <si>
    <t>97_SGAA</t>
  </si>
  <si>
    <t>[11.01] Real Estate/Property Taxes</t>
  </si>
  <si>
    <t>realEstatePropertyTaxesPk1101</t>
  </si>
  <si>
    <t>98_SGAA</t>
  </si>
  <si>
    <t>[11.02] Sales Receipts Tax</t>
  </si>
  <si>
    <t>salesReceiptsTaxPk1102</t>
  </si>
  <si>
    <t>99_SGAA</t>
  </si>
  <si>
    <t>[11.03] Other Tax Expense</t>
  </si>
  <si>
    <t>otherTaxExpensePk1103</t>
  </si>
  <si>
    <t>100_SGAA</t>
  </si>
  <si>
    <t>[11.04] Other Tax Expense - Pre-Opening</t>
  </si>
  <si>
    <t>otherTaxExpensePreOpeningPk1104</t>
  </si>
  <si>
    <t>101_SGAA</t>
  </si>
  <si>
    <t>[11.05] Other Taxes non-regulated</t>
  </si>
  <si>
    <t>otherTaxesnonregulatedPk1105</t>
  </si>
  <si>
    <t>103_SGAA</t>
  </si>
  <si>
    <t>[12.01] Workers Compensation Costs</t>
  </si>
  <si>
    <t>workersCompensationCostsPk1201</t>
  </si>
  <si>
    <t>104_SGAA</t>
  </si>
  <si>
    <t>[12.02] Customer Accident Costs</t>
  </si>
  <si>
    <t>customerAccidentCostsPk1202</t>
  </si>
  <si>
    <t>105_SGAA</t>
  </si>
  <si>
    <t>[12.03] Casualty Insurance and Fees</t>
  </si>
  <si>
    <t>casualtyInsuranceandFeesPk1203</t>
  </si>
  <si>
    <t>106_SGAA</t>
  </si>
  <si>
    <t>[12.04] Property Insurance &amp; Expenses</t>
  </si>
  <si>
    <t>propertyInsuranceandExpensesPk1204</t>
  </si>
  <si>
    <t>107_SGAA</t>
  </si>
  <si>
    <t>[12.05] Professional Insurance</t>
  </si>
  <si>
    <t>professionalInsurancePk1205</t>
  </si>
  <si>
    <t>108_SGAA</t>
  </si>
  <si>
    <t>[12.06] CAM - Insurance</t>
  </si>
  <si>
    <t>cAMInsurancePk1206</t>
  </si>
  <si>
    <t>126_SGAA</t>
  </si>
  <si>
    <t>[14.01] Associate Related Travel Expenses</t>
  </si>
  <si>
    <t>associateRelatedTravelExpensesPk1401</t>
  </si>
  <si>
    <t>127_SGAA</t>
  </si>
  <si>
    <t>[14.02] Corporate Aviation</t>
  </si>
  <si>
    <t>corporateAviationPk1402</t>
  </si>
  <si>
    <t>128_SGAA</t>
  </si>
  <si>
    <t>[14.03] Events</t>
  </si>
  <si>
    <t>eventsPk1403</t>
  </si>
  <si>
    <t>129_SGAA</t>
  </si>
  <si>
    <t>[14.04] Remodel Travel Expense</t>
  </si>
  <si>
    <t>remodelTravelExpensePk1404</t>
  </si>
  <si>
    <t>131_SGAA</t>
  </si>
  <si>
    <t>[15.01] Equipment Lease</t>
  </si>
  <si>
    <t>equipmentLeasePk1501</t>
  </si>
  <si>
    <t>132_SGAA</t>
  </si>
  <si>
    <t>[15.02] Equipment Rental Expense - Pre-Opening</t>
  </si>
  <si>
    <t>equipmentRentalExpensePreOpeningPk1502</t>
  </si>
  <si>
    <t>134_SGAA</t>
  </si>
  <si>
    <t>[16.01] Consulting</t>
  </si>
  <si>
    <t>consultingPk1601</t>
  </si>
  <si>
    <t>135_SGAA</t>
  </si>
  <si>
    <t>[16.02] Financial Transaction Support Services</t>
  </si>
  <si>
    <t>financialTransactionSupportServicesPk1602</t>
  </si>
  <si>
    <t>136_SGAA</t>
  </si>
  <si>
    <t>[16.03] Audit</t>
  </si>
  <si>
    <t>auditPk1603</t>
  </si>
  <si>
    <t>137_SGAA</t>
  </si>
  <si>
    <t>[16.04] Translation Services</t>
  </si>
  <si>
    <t>translationServicesPk1604</t>
  </si>
  <si>
    <t>138_SGAA</t>
  </si>
  <si>
    <t>[16.05] Business Process Outsourcing (BPO)</t>
  </si>
  <si>
    <t>businessProcessOutsourcingPk1605</t>
  </si>
  <si>
    <t>139_SGAA</t>
  </si>
  <si>
    <t>[16.06] Other Professional Services</t>
  </si>
  <si>
    <t>otherProfessionalServicesPk1606</t>
  </si>
  <si>
    <t>140_SGAA</t>
  </si>
  <si>
    <t>[16.07] Other Outside Services</t>
  </si>
  <si>
    <t>otherOutsideServicesPk1607</t>
  </si>
  <si>
    <t>142_SGAA</t>
  </si>
  <si>
    <t>[17.01] Outside Counsel - Litigation</t>
  </si>
  <si>
    <t>outsideCounselLitigationPk1701</t>
  </si>
  <si>
    <t>143_SGAA</t>
  </si>
  <si>
    <t>[17.02] Outside Counsel - Non-Litigation</t>
  </si>
  <si>
    <t>outsideCounselNonLitigationPk1702</t>
  </si>
  <si>
    <t>144_SGAA</t>
  </si>
  <si>
    <t>[17.03] Operational Licenses and Permits</t>
  </si>
  <si>
    <t>operationalLicensesandPermitsPk1703</t>
  </si>
  <si>
    <t>145_SGAA</t>
  </si>
  <si>
    <t>[17.04] Document Archiving and Management</t>
  </si>
  <si>
    <t>documentArchivingandManagementPk1704</t>
  </si>
  <si>
    <t>146_SGAA</t>
  </si>
  <si>
    <t>[17.05] Government Fines and Penalties</t>
  </si>
  <si>
    <t>governmentFinesandPenaltiesPk1705</t>
  </si>
  <si>
    <t>147_SGAA</t>
  </si>
  <si>
    <t>[17.06] Board of Director Expenses</t>
  </si>
  <si>
    <t>boardofDirectorExpensesPk1706</t>
  </si>
  <si>
    <t>148_SGAA</t>
  </si>
  <si>
    <t>[17.07] Legal Settlements Non-Committee Based</t>
  </si>
  <si>
    <t>legalSettlementsNonCommitteeBasedPk1707</t>
  </si>
  <si>
    <t>149_SGAA</t>
  </si>
  <si>
    <t>[17.08] Legal Settlements - Committee Based</t>
  </si>
  <si>
    <t>legalSettlementsCommitteeBasedPk1708</t>
  </si>
  <si>
    <t>150_SGAA</t>
  </si>
  <si>
    <t>[17.09] Government Official Expenses</t>
  </si>
  <si>
    <t>governmentOfficialExpensesPk1709</t>
  </si>
  <si>
    <t>163_SGAA</t>
  </si>
  <si>
    <t>[19.01] External Communication</t>
  </si>
  <si>
    <t>externalCommunicationPk1901</t>
  </si>
  <si>
    <t>164_SGAA</t>
  </si>
  <si>
    <t>[19.03] Legally Required Communication</t>
  </si>
  <si>
    <t>legallyRequiredCommunicationPk1903</t>
  </si>
  <si>
    <t>165_SGAA</t>
  </si>
  <si>
    <t>[19.04] Lobbying Expenses and Political Contributions</t>
  </si>
  <si>
    <t>lobbyingExpensesandPoliticalContributionsPk1904</t>
  </si>
  <si>
    <t>166_SGAA</t>
  </si>
  <si>
    <t>[19.05] Trade Association Fees and Corporate Memberships</t>
  </si>
  <si>
    <t>tradeAssociationFeesandCorporateMembershipsPk1905</t>
  </si>
  <si>
    <t>167_SGAA</t>
  </si>
  <si>
    <t>[19.06] Charitable Contributions and Donations</t>
  </si>
  <si>
    <t>charitableContributionsandDonationsPk1906</t>
  </si>
  <si>
    <t>169_SGAA</t>
  </si>
  <si>
    <t>[20.01] Processing &amp; Storage Infrastructure</t>
  </si>
  <si>
    <t>processingandStorageInfrastructurePk2001</t>
  </si>
  <si>
    <t>170_SGAA</t>
  </si>
  <si>
    <t>[20.02] Store/Club Hardware &amp; Maintenance</t>
  </si>
  <si>
    <t>storeClubHardwareandMaintenancePk2002</t>
  </si>
  <si>
    <t>171_SGAA</t>
  </si>
  <si>
    <t>[20.03] IT Network Equipment &amp; Maintenance</t>
  </si>
  <si>
    <t>iTNetworkEquipmentandMaintenancePk2003</t>
  </si>
  <si>
    <t>172_SGAA</t>
  </si>
  <si>
    <t>[20.04] Fixed Telecom/ Datacom Devices &amp; Services</t>
  </si>
  <si>
    <t>fixedTelecomDatacomDevicesandServicesPk2004</t>
  </si>
  <si>
    <t>173_SGAA</t>
  </si>
  <si>
    <t>[20.05] End User Computing</t>
  </si>
  <si>
    <t>endUserComputingPk2005</t>
  </si>
  <si>
    <t>174_SGAA</t>
  </si>
  <si>
    <t>[20.06] Mobile Devices &amp; Services</t>
  </si>
  <si>
    <t>mobileDevicesandServicesPk2006</t>
  </si>
  <si>
    <t>175_SGAA</t>
  </si>
  <si>
    <t>[20.07] IaaS and PaaS</t>
  </si>
  <si>
    <t>iaaSandPaaSPk2007</t>
  </si>
  <si>
    <t>176_SGAA</t>
  </si>
  <si>
    <t>[20.08] IT Operations Services</t>
  </si>
  <si>
    <t>iTOperationsServicesPk2008</t>
  </si>
  <si>
    <t>177_SGAA</t>
  </si>
  <si>
    <t>[20.09] Data Center Outsourcing</t>
  </si>
  <si>
    <t>dataCenterOutsourcingPk2009</t>
  </si>
  <si>
    <t>178_SGAA</t>
  </si>
  <si>
    <t>[20.10] Applications Support Services</t>
  </si>
  <si>
    <t>applicationsSupportServicesPk2010</t>
  </si>
  <si>
    <t>179_SGAA</t>
  </si>
  <si>
    <t>[20.11] On-premise Software Maintenance</t>
  </si>
  <si>
    <t>onpremiseSoftwareMaintenancePk2011</t>
  </si>
  <si>
    <t>180_SGAA</t>
  </si>
  <si>
    <t>[20.12] Applications as a Service</t>
  </si>
  <si>
    <t>applicationsasaServicePk2012</t>
  </si>
  <si>
    <t>181_SGAA</t>
  </si>
  <si>
    <t>[20.13] Website Development and Management</t>
  </si>
  <si>
    <t>websiteDevelopmentandManagementPk2013</t>
  </si>
  <si>
    <t>182_SGAA</t>
  </si>
  <si>
    <t>[20.14] Application Development - 3rd party fixed-bid</t>
  </si>
  <si>
    <t>applicationDevelopment3rdpartyfixedbidPk2014</t>
  </si>
  <si>
    <t>184_SGAA</t>
  </si>
  <si>
    <t>[21.01] Tech -CTO Direct Bill</t>
  </si>
  <si>
    <t>techCTODirectBillPk2101</t>
  </si>
  <si>
    <t>185_SGAA</t>
  </si>
  <si>
    <t>[21.02] Tech -Store/Club IT Support</t>
  </si>
  <si>
    <t>techStoreClubITSupportPk2102</t>
  </si>
  <si>
    <t>186_SGAA</t>
  </si>
  <si>
    <t>[21.03] Tech -US CTO Infra. Apportioned</t>
  </si>
  <si>
    <t>techUSCTOInfraApportionedPk2103</t>
  </si>
  <si>
    <t>187_SGAA</t>
  </si>
  <si>
    <t>[21.04] Tech -GBS Direct Bill</t>
  </si>
  <si>
    <t>techGBSDirectBillPk2104</t>
  </si>
  <si>
    <t>188_SGAA</t>
  </si>
  <si>
    <t>[21.05] Tech -GBS Apportioned</t>
  </si>
  <si>
    <t>techGBSApportionedPk2105</t>
  </si>
  <si>
    <t>189_SGAA</t>
  </si>
  <si>
    <t>[21.06] GBS Services -Fixed Charges</t>
  </si>
  <si>
    <t>gBSServicesFixedChargesPk2106</t>
  </si>
  <si>
    <t>190_SGAA</t>
  </si>
  <si>
    <t>[21.07] GBS Services -Variable Consumption</t>
  </si>
  <si>
    <t>gBSServicesVariableConsumptionPk2107</t>
  </si>
  <si>
    <t>191_SGAA</t>
  </si>
  <si>
    <t>[21.08] GBS Services -Variable Segment Initiatives</t>
  </si>
  <si>
    <t>gBSServicesVariableSegmentInitiativesPk2108</t>
  </si>
  <si>
    <t>192_SGAA</t>
  </si>
  <si>
    <t>[21.09] IC Balance ISD Allocations</t>
  </si>
  <si>
    <t>iCBalanceISDAllocationsPk2109</t>
  </si>
  <si>
    <t>194_SGAA</t>
  </si>
  <si>
    <t>[22.01] Cash Short and Long</t>
  </si>
  <si>
    <t>cashShortandLongPk2201</t>
  </si>
  <si>
    <t>195_SGAA</t>
  </si>
  <si>
    <t>[22.02] Payroll Check Cashing - Uncollectible Accounts</t>
  </si>
  <si>
    <t>payrollCheckCashingUncollectibleAccountsPk2202</t>
  </si>
  <si>
    <t>196_SGAA</t>
  </si>
  <si>
    <t>[22.03] Bad Debt Expense</t>
  </si>
  <si>
    <t>badDebtExpensePk2203</t>
  </si>
  <si>
    <t>197_SGAA</t>
  </si>
  <si>
    <t>[22.04] Uncollectible Health and Wellness</t>
  </si>
  <si>
    <t>uncollectibleHealthandWellnessPk2204</t>
  </si>
  <si>
    <t>198_SGAA</t>
  </si>
  <si>
    <t>[22.05] Coupon Redemption</t>
  </si>
  <si>
    <t>couponRedemptionPk2205</t>
  </si>
  <si>
    <t>199_SGAA</t>
  </si>
  <si>
    <t>[22.06] Financial Services Expense</t>
  </si>
  <si>
    <t>financialServicesExpensePk2206</t>
  </si>
  <si>
    <t>200_SGAA</t>
  </si>
  <si>
    <t>[22.07] Lottery Expense (Net Debit balance)</t>
  </si>
  <si>
    <t>lotteryExpenseNetDebitbalancePk2207</t>
  </si>
  <si>
    <t>202_SGAA</t>
  </si>
  <si>
    <t>[23.01] Depreciation</t>
  </si>
  <si>
    <t>depreciationPk2301</t>
  </si>
  <si>
    <t>203_SGAA</t>
  </si>
  <si>
    <t>[23.02] Amortization</t>
  </si>
  <si>
    <t>amortizationPk2302</t>
  </si>
  <si>
    <t>205_SGAA</t>
  </si>
  <si>
    <t>[24.01] Foreign Currency Gain/Loss</t>
  </si>
  <si>
    <t>foreignCurrencyGainLossPk2401</t>
  </si>
  <si>
    <t>206_SGAA</t>
  </si>
  <si>
    <t>[24.02] Sale of Assets/Land Gain/Loss</t>
  </si>
  <si>
    <t>saleofAssetsLandGainLossPk2402</t>
  </si>
  <si>
    <t>207_SGAA</t>
  </si>
  <si>
    <t>[24.03] Impairment/Write-off Expenses</t>
  </si>
  <si>
    <t>impairmentWriteoffExpensesPk2403</t>
  </si>
  <si>
    <t>208_SGAA</t>
  </si>
  <si>
    <t>[24.04] Variable Interest Entity</t>
  </si>
  <si>
    <t>variableInterestEntityPk2404</t>
  </si>
  <si>
    <t>209_SGAA</t>
  </si>
  <si>
    <t>[24.05] Loss Expense</t>
  </si>
  <si>
    <t>lossExpensePk2405</t>
  </si>
  <si>
    <t>210_SGAA</t>
  </si>
  <si>
    <t>[24.06] Other - Non Recoverable Tax</t>
  </si>
  <si>
    <t>otherNonRecoverableTaxPk2406</t>
  </si>
  <si>
    <t>211_SGAA</t>
  </si>
  <si>
    <t>[24.07] Other Non Tax Deductible Expense</t>
  </si>
  <si>
    <t>otherNonTaxDeductibleExpensePk2407</t>
  </si>
  <si>
    <t>212_SGAA</t>
  </si>
  <si>
    <t>[24.08] Bad Debt Expense -Non- Tax Deductible</t>
  </si>
  <si>
    <t>badDebtExpenseNonTaxDeductiblePk2408</t>
  </si>
  <si>
    <t>214_SGAA</t>
  </si>
  <si>
    <t>[25.01] Maintenance &amp; Repairs Expense Sweep</t>
  </si>
  <si>
    <t>maintenanceandRepairsExpenseSweepPk2501</t>
  </si>
  <si>
    <t>215_SGAA</t>
  </si>
  <si>
    <t>[25.02] Suspense ASDA Sweep</t>
  </si>
  <si>
    <t>suspenseASDASweepPk2502</t>
  </si>
  <si>
    <t>216_SGAA</t>
  </si>
  <si>
    <t>[25.04] Payment Rounding Differences</t>
  </si>
  <si>
    <t>paymentRoundingDifferencesPk2504</t>
  </si>
  <si>
    <t>217_SGAA</t>
  </si>
  <si>
    <t>[25.05] Intercompany ISD Allocation</t>
  </si>
  <si>
    <t>intercompanyISDAllocationPk2505</t>
  </si>
  <si>
    <t>218_SGAA</t>
  </si>
  <si>
    <t>[25.06] Intercompany Warehouse Service</t>
  </si>
  <si>
    <t>intercompanyWarehouseServicePk2506</t>
  </si>
  <si>
    <t>219_SGAA</t>
  </si>
  <si>
    <t>[25.07] Intercompany Global Sourcing Allocation</t>
  </si>
  <si>
    <t>intercompanyGlobalSourcingAllocationPk2507</t>
  </si>
  <si>
    <t>220_SGAA</t>
  </si>
  <si>
    <t>[25.08] Intercompany Global George</t>
  </si>
  <si>
    <t>intercompanyGlobalGeorgePk2508</t>
  </si>
  <si>
    <t>221_SGAA</t>
  </si>
  <si>
    <t>[25.09] Intercompany Global GEC Allocation</t>
  </si>
  <si>
    <t>intercompanyGlobalGECAllocationPk2509</t>
  </si>
  <si>
    <t>222_SGAA</t>
  </si>
  <si>
    <t>[25.10] Intercompany GSS/GeC Allocation</t>
  </si>
  <si>
    <t>intercompanyGSSGeCAllocationPk2510</t>
  </si>
  <si>
    <t>223_SGAA</t>
  </si>
  <si>
    <t>[25.11] Technology Segment Allocation</t>
  </si>
  <si>
    <t>technologySegmentAllocationPk2511</t>
  </si>
  <si>
    <t>224_SGAA</t>
  </si>
  <si>
    <t>[25.12] Intercompany Property Allocation</t>
  </si>
  <si>
    <t>intercompanyPropertyAllocationPk2512</t>
  </si>
  <si>
    <t>225_SGAA</t>
  </si>
  <si>
    <t>[25.13] Intercompany Supplies Expense</t>
  </si>
  <si>
    <t>intercompanySuppliesExpensePk2513</t>
  </si>
  <si>
    <t>226_SGAA</t>
  </si>
  <si>
    <t>[25.14] Store/Club Planning Expenses</t>
  </si>
  <si>
    <t>storeClubPlanningExpensesPk2514</t>
  </si>
  <si>
    <t>227_SGAA</t>
  </si>
  <si>
    <t>[25.15] Project Expenditures</t>
  </si>
  <si>
    <t>projectExpendituresPk2515</t>
  </si>
  <si>
    <t>228_SGAA</t>
  </si>
  <si>
    <t>[25.17] FX Translation Adjustment</t>
  </si>
  <si>
    <t>fXTranslationAdjustmentPk2517</t>
  </si>
  <si>
    <t>230_SGAA</t>
  </si>
  <si>
    <t>[25.19] Suspense Accounts</t>
  </si>
  <si>
    <t>suspenseAccountsPk2519</t>
  </si>
  <si>
    <t>231_SGAA</t>
  </si>
  <si>
    <t>[25.20] Management Fee and Wages Allocation</t>
  </si>
  <si>
    <t>managementFeeandWagesAllocationPk2520</t>
  </si>
  <si>
    <t>232_SGAA</t>
  </si>
  <si>
    <t>[25.23] Return Center Income</t>
  </si>
  <si>
    <t>returnCenterIncomePk2523</t>
  </si>
  <si>
    <t>233_SGAA</t>
  </si>
  <si>
    <t>[25.24] Accretion Expense (Asset Retirement Obligations)</t>
  </si>
  <si>
    <t>accretionExpenseAssetRetirementObligationsPk2524</t>
  </si>
  <si>
    <t>234_SGAA</t>
  </si>
  <si>
    <t>[25.25] Intercompany Equipment Rental Income</t>
  </si>
  <si>
    <t>intercompanyEquipmentRentalIncomePk2525</t>
  </si>
  <si>
    <t>235_SGAA</t>
  </si>
  <si>
    <t>[25.26] Intercompany Rent Income 2</t>
  </si>
  <si>
    <t>intercompanyRentIncome2Pk2526</t>
  </si>
  <si>
    <t>236_SGAA</t>
  </si>
  <si>
    <t>[25.27] Marketing Allocations</t>
  </si>
  <si>
    <t>marketingAllocationsPk2527</t>
  </si>
  <si>
    <t>237_SGAA</t>
  </si>
  <si>
    <t>[25.28] Allocations - Corp Affairs</t>
  </si>
  <si>
    <t>allocationsCorpAffairsPk2528</t>
  </si>
  <si>
    <t>238_SGAA</t>
  </si>
  <si>
    <t>[25.29] Impairment Expense - Store Closure</t>
  </si>
  <si>
    <t>impairmentExpenseStoreClosurePk2529</t>
  </si>
  <si>
    <t>239_SGAA</t>
  </si>
  <si>
    <t>[25.30] ISD Project Cost Transferred to Country</t>
  </si>
  <si>
    <t>iSDProjectCostTransferredtoCountryPk2530</t>
  </si>
  <si>
    <t>240_SGAA</t>
  </si>
  <si>
    <t>[25.32] Interco Maint &amp; Repair Services Income plus Markup</t>
  </si>
  <si>
    <t>intercoMaintandRepairServicesIncomeplusMarkupPk2532</t>
  </si>
  <si>
    <t>241_SGAA</t>
  </si>
  <si>
    <t>[25.33] Interco Maint &amp; Repair Services Expense plus Markup</t>
  </si>
  <si>
    <t>intercoMaintandRepairServicesExpenseplusMarkupPk2533</t>
  </si>
  <si>
    <t>242_SGAA</t>
  </si>
  <si>
    <t>[25.34] Intercompany Service Income Plus Markup</t>
  </si>
  <si>
    <t>intercompanyServiceIncomePlusMarkupPk2534</t>
  </si>
  <si>
    <t xml:space="preserve">243_SGAA </t>
  </si>
  <si>
    <t>[25.35] Intercompany Service Expense Plus Markup</t>
  </si>
  <si>
    <t>intercompanyServiceExpensePlusMarkupPk2535</t>
  </si>
  <si>
    <t>244_SGAA</t>
  </si>
  <si>
    <t>[25.36] SG&amp;A Reclass to COGS or Other Income</t>
  </si>
  <si>
    <t>sGandAReclasstoCOGSorOtherIncomePk2536</t>
  </si>
  <si>
    <t>245_SGAA</t>
  </si>
  <si>
    <t>[25.37] Allocations - Global Governance</t>
  </si>
  <si>
    <t>allocationsGlobalGovernancePk2537</t>
  </si>
  <si>
    <t>246_SGAA</t>
  </si>
  <si>
    <t>[25.38] Allocations - People</t>
  </si>
  <si>
    <t>allocationsPeoplePk2538</t>
  </si>
  <si>
    <t>247_SGAA</t>
  </si>
  <si>
    <t>[25.39] Other Allocations</t>
  </si>
  <si>
    <t>otherAllocationsPk2539</t>
  </si>
  <si>
    <t>248_SGAA</t>
  </si>
  <si>
    <t>[25.40] Intercompany Commission Expense</t>
  </si>
  <si>
    <t>intercompanyCommissionExpensePk2540</t>
  </si>
  <si>
    <t>249_SGAA</t>
  </si>
  <si>
    <t>[25.41] Intercompany Management Fees</t>
  </si>
  <si>
    <t>intercompanyManagementFeesPk2541</t>
  </si>
  <si>
    <t>250_SGAA</t>
  </si>
  <si>
    <t>[25.42] Rent Allocation</t>
  </si>
  <si>
    <t>rentAllocationPk2542</t>
  </si>
  <si>
    <t>251_SGAA</t>
  </si>
  <si>
    <t>[26.01] GLs with No Activity</t>
  </si>
  <si>
    <t>272_SGAA</t>
  </si>
  <si>
    <t>SOT (01 Salaries and Wages)</t>
  </si>
  <si>
    <t>3200_LABOR</t>
  </si>
  <si>
    <t>Store Labor Metrics</t>
  </si>
  <si>
    <t>storeLaborMetrics</t>
  </si>
  <si>
    <t xml:space="preserve">LaborHours + wageRateImplied + productivity </t>
  </si>
  <si>
    <t>OPERATIONS</t>
  </si>
  <si>
    <t>274_SGAA</t>
  </si>
  <si>
    <t>M&amp;R Input</t>
  </si>
  <si>
    <t>276_SGAA</t>
  </si>
  <si>
    <t>Supplies Input</t>
  </si>
  <si>
    <t>OPERATIONS,E2E DELIVERY,INNOVATION &amp; AUTOMATION,CORE_SERVICES,SEGMENT,RX,OPTICAL,ECOMMERCE,FUEL,HOME OFFICE,FULFILLMENT</t>
  </si>
  <si>
    <t>278_SGAA</t>
  </si>
  <si>
    <t>Marketing Input</t>
  </si>
  <si>
    <t>OPERATIONS,E2E DELIVERY,INNOVATION &amp; AUTOMATION,CORE_SERVICES,SEGMENT,RX,OPTICAL,ECOMMERCE,MARKETING</t>
  </si>
  <si>
    <t>280_SGAA</t>
  </si>
  <si>
    <t>Outside Services Input</t>
  </si>
  <si>
    <t>OPERATIONS,E2E DELIVERY,INNOVATION &amp; AUTOMATION,CORE_SERVICES,SEGMENT,RX,OPTICAL,ECOMMERCE</t>
  </si>
  <si>
    <t>6101_UFM</t>
  </si>
  <si>
    <t>Membership Income</t>
  </si>
  <si>
    <t>membershipIncome</t>
  </si>
  <si>
    <t>Home_Office_Compliance, Home_Office_Executive, Home_Office_Finance_wo_PR_and_Supply_Chain, Home_Office_HW, Home_Office_Merchandising_wo_PR, Home_Office_Operations, Home_Office_People_wo_Supply_Chain, Home_Office_Support_Other, MPHomeOfficeUS, WMTUS_HOME_OFFICE_ECOMMERCE, WMTUS_HOME_OFFICE_ONE, WMTUS_MARKETING_CIS, WMTUS_Product_and_Innovation, WMTUS_Revenue_Growth, WMTUS_STORE_8, WMTUS_UXUI_DESIGN</t>
  </si>
  <si>
    <t>1021_SBA</t>
  </si>
  <si>
    <t>HOME OFFICE</t>
  </si>
  <si>
    <t>Acquisitions_and_Incubations, Total_eCommerce_Adjustments, WalmartDOTcom</t>
  </si>
  <si>
    <t>1009_SBA</t>
  </si>
  <si>
    <t>ECOMMERCE</t>
  </si>
  <si>
    <t>WMTUS_Total_Operations_mgmt</t>
  </si>
  <si>
    <t>1014_SBA</t>
  </si>
  <si>
    <t>MPSupplyChainUS, US.08717, USSCFY20ADJSTSSC, WMT_US_Supply_Chain_Total_GP,WMT_US_Supply_Chain_Total_SGA</t>
  </si>
  <si>
    <t>1012_SBA</t>
  </si>
  <si>
    <t>CORE_SERVICES</t>
  </si>
  <si>
    <t>WMTUS_TRANSPORTATION</t>
  </si>
  <si>
    <t>1010_SBA</t>
  </si>
  <si>
    <t>E2E DELIVERY</t>
  </si>
  <si>
    <t>WALMART_US_ADJ, WMTUS_Manufacturing_mgmt</t>
  </si>
  <si>
    <t>49_OPTICAL, 50_OPTICAL, 57_NOT IN USE, 75_OPTICAL - DOCTORS</t>
  </si>
  <si>
    <t>1003_SBA</t>
  </si>
  <si>
    <t>OPTICAL</t>
  </si>
  <si>
    <t>65_GASOLINE</t>
  </si>
  <si>
    <t>1023_SBA</t>
  </si>
  <si>
    <t>FUEL</t>
  </si>
  <si>
    <t>6100_UFM</t>
  </si>
  <si>
    <t>Other Income</t>
  </si>
  <si>
    <t>otherIncome</t>
  </si>
  <si>
    <t>157_MERCHSALES</t>
  </si>
  <si>
    <t>Non-driver Inputs (Merchandise Income)</t>
  </si>
  <si>
    <t>nondriverInputsMerchandiseIncome</t>
  </si>
  <si>
    <t>WMT_ADVERTISING</t>
  </si>
  <si>
    <t>49_OPTICAL, 50_OPTICAL, 57_NOT IN USE, 75_OPTICAL - DOCTORS, 38_PHARMACY RX</t>
  </si>
  <si>
    <t>CONNECT</t>
  </si>
  <si>
    <t>MONETIZATION</t>
  </si>
  <si>
    <t>DATA VENTURES</t>
  </si>
  <si>
    <t>THIRD_PARTY_WEBSITE,CORE_SERVICES,SERVICES_PHYSICAL,SOFTWARE_SOLUTIONS,OTHER_LMD_3P_PLATFORM</t>
  </si>
  <si>
    <t>FUEL, OTHER</t>
  </si>
  <si>
    <t>1104_MERCHSALES</t>
  </si>
  <si>
    <t>Merchandise Income (allocated to entity)</t>
  </si>
  <si>
    <t>merchandiseIncomeallocatedtoentity</t>
  </si>
  <si>
    <t>(merchandiseIncomechanneldept * allocationPctMerchandiseIncome)</t>
  </si>
  <si>
    <t>104_MERCHSALES</t>
  </si>
  <si>
    <t>Merchandise Income Calculated</t>
  </si>
  <si>
    <t>merchandiseIncomeCalculated</t>
  </si>
  <si>
    <t>allocationPctMerchandiseIncome * ( grossGMV + instoreReturnsnewNGnode )+ nondriverInputsMerchandiseIncome + grossGMVsplitfromblendeddepts</t>
  </si>
  <si>
    <t>otherServicesIncome</t>
  </si>
  <si>
    <t>FASHION,CONSUMABLES,FOOD,ENTERTAINMENT TOYS AND SEASONAL,HARDLINES,HOME,OTHER,HEALTH AND WELLNESS</t>
  </si>
  <si>
    <t>INHOME_DELIVERY,SCHEDULED_DELIVERY,EVERGREEN_DELIVERY,EXPRESS_DELIVERY,EXPRESS_PICKUP,SCHEDULED_PICKUP,WMT_INSTACART, DSV_S2H, OWNED_S2H,SHIP_FROM_STORE,UNSCHEDULED_DELIVERY,DSV_S2S,OWNED_S2S,UNSCHEDULED_PICKUP,INSTORE_INCLUB, THIRD_PARTY_WEBSITE,CORE_SERVICES,SERVICES_PHYSICAL,SOFTWARE_SOLUTIONS,OTHER_LMD_3P_PLATFORM, WMT_PHOTO, SELLER_FULFILLED,LOCAL_MARKETPLACE,WALMART_FULFILLMENT_SERVICES</t>
  </si>
  <si>
    <t>1_CANDY, 2_PERSONAL CARE, 3_STATIONERY, 4_HOUSEHOLD PAPER, 5_MEDIA AND GAMING, 6_CAMERAS &amp; SUPPLIES, 7_TOYS, 8_PETS &amp; SUPPLIES, 9_SPORTING GOODS, 10_AUTOMOTIVE, 11_HARDWARE, 12_PAINT &amp; ACCESSORIES, 13_CLEANING, 14_COOK AND DINE, 16_LAWN AND GARDEN, 17_HOME DECOR, 18_SEASONAL, 19, 20_BATH AND SHOWER, 21_BOOKS AND MAGAZINES, 22_BEDDING, 23_MENS APPAREL, 24_BOYS APPAREL, 25_SHOES, 26_BABY AND TODDLER APPAREL, 27_FAMILY SOCKS, 28_PRECIOUS METALS, 29_INTIMATE APPAREL, 30_FOUNDATIONS, 31_ACCESSORIES, 32_JEWELRY, 33_GIRLS APPAREL, 34_WOMENS APPAREL, 35_PLUS SIZES/MATERNITY, 36_WOMENS OUTERWEAR, 37_AUTO SERVICE, 40_OTC PHARMACY, 46_BEAUTY, 56_HORTICULTURE, 58_WIRELESS SERVICE INCOME, 67_CELEBRATION, 68_SAMS, 71_FURNITURE, 72_ELECTRONICS, 74_HOME MANAGEMENT, 77_LARGE HOUSEHOLD GOODS, 79_INFANT CONSUMABLE HARDLINES, 80_SERVICE DELI, 81_COM BREAD, 82_IMPULSE MERCHANDISE, 83_SEAFOOD, 84_BALLOONS &amp; FLOWERS, 85_ONE HOUR PHOTO, 87_WIRELESS, 90_DAIRY, 91_FROZEN, 92_GROCERY, 93_MEAT, 94_PRODUCE, 95_DSD GROCERY, 96_LIQUOR, 97_WALL DELI, 98_BAKERY</t>
  </si>
  <si>
    <t>FASHION,CONSUMABLES,FOOD,ENTERTAINMENT TOYS AND SEASONAL,HARDLINES,HOME</t>
  </si>
  <si>
    <t>INSTORE_INCLUB,OTHER,THIRD_PARTY_WEBSITE,CORE_SERVICES,SERVICES_PHYSICAL,SOFTWARE_SOLUTIONS,OTHER_LMD_3P_PLATFORM, WMT_PHOTO</t>
  </si>
  <si>
    <t>1105_SERVINC</t>
  </si>
  <si>
    <t>Service Income (split from blended depts)</t>
  </si>
  <si>
    <t>serviceIncomesplitfromblendeddepts</t>
  </si>
  <si>
    <t>serviceIncomePctofGrossGMVforblendeddepartments*GrossGMV</t>
  </si>
  <si>
    <t>2012_MERCHSALES</t>
  </si>
  <si>
    <t>Gross GMV (split from blended depts)</t>
  </si>
  <si>
    <t>grossGMVsplitfromblendeddepts</t>
  </si>
  <si>
    <t>5_MEDIA AND GAMING, 72_ELECTRONICS, 82_IMPULSE MERCHANDISE</t>
  </si>
  <si>
    <t>grossGMV-serviceIncomesplitfromblendeddepts</t>
  </si>
  <si>
    <t>2026_MERCHSALES</t>
  </si>
  <si>
    <t>oldGMV + Services</t>
  </si>
  <si>
    <t>oldgMVplusServices</t>
  </si>
  <si>
    <t>grossGMVtotal + services + shippingRevenue</t>
  </si>
  <si>
    <t>2025_MERCHSALES</t>
  </si>
  <si>
    <t>oldGMV + Services less Returns</t>
  </si>
  <si>
    <t>oldgMVplusServiceslessReturns</t>
  </si>
  <si>
    <t>oldgMVplusServices + returnstotal</t>
  </si>
  <si>
    <t>2018_MERCHSALES</t>
  </si>
  <si>
    <t>Services</t>
  </si>
  <si>
    <t>services</t>
  </si>
  <si>
    <t>serviceIncome + commissionIncome + financialServicesIncome + otherMerchandServiceIncome + otherServicesIncome</t>
  </si>
  <si>
    <t>2014_MERCHSALES</t>
  </si>
  <si>
    <t>Other Merchandise Sales</t>
  </si>
  <si>
    <t>otherMerchandiseSales</t>
  </si>
  <si>
    <t>HEALTH AND WELLNESS, FUEL, OTHER</t>
  </si>
  <si>
    <t>0021_UFM</t>
  </si>
  <si>
    <t>Gross GMV (total)</t>
  </si>
  <si>
    <t>grossGMVtotal</t>
  </si>
  <si>
    <t>grossGMV  + otherMerchandiseSales</t>
  </si>
  <si>
    <t>2019_MERCHSALES</t>
  </si>
  <si>
    <t>AURs</t>
  </si>
  <si>
    <t>aURs</t>
  </si>
  <si>
    <t>(aURlessReturns + aURNG ) *0</t>
  </si>
  <si>
    <t>2020_MERCHSALES</t>
  </si>
  <si>
    <t>AUR less Returns</t>
  </si>
  <si>
    <t>aURlessReturns</t>
  </si>
  <si>
    <t>gMVplusServiceslessReturns/unitsUOMlessreturns</t>
  </si>
  <si>
    <t>2021_MERCHSALES</t>
  </si>
  <si>
    <t>AUR (NG)</t>
  </si>
  <si>
    <t>aURNG</t>
  </si>
  <si>
    <t>gMVplusServices/unitsGrossUOMNG</t>
  </si>
  <si>
    <t>971_MPLACE</t>
  </si>
  <si>
    <t>Marketplace Metrics</t>
  </si>
  <si>
    <t>marketplaceMetrics</t>
  </si>
  <si>
    <t>(gmvTree+mpGrossProfit )*0</t>
  </si>
  <si>
    <t>972_MPLACE</t>
  </si>
  <si>
    <t>GMV Tree</t>
  </si>
  <si>
    <t>gmvTree</t>
  </si>
  <si>
    <t>(mpGrossAuthGMV + mpGrossShippedGMV + mpNetShippedGMV + mpNetGMV)*0</t>
  </si>
  <si>
    <t>957_MPLACE</t>
  </si>
  <si>
    <t>MP Net GMV</t>
  </si>
  <si>
    <t>mpNetGMV</t>
  </si>
  <si>
    <t>mpChargebacks +  mpLiquidationRevenue + mpNetShippedGMV</t>
  </si>
  <si>
    <t>917_MPLACE</t>
  </si>
  <si>
    <t>MP Chargebacks</t>
  </si>
  <si>
    <t>mpChargebacks</t>
  </si>
  <si>
    <t>918_MPLACE</t>
  </si>
  <si>
    <t>MP Liquidation Revenue</t>
  </si>
  <si>
    <t>mpLiquidationRevenue</t>
  </si>
  <si>
    <t>956_MPLACE</t>
  </si>
  <si>
    <t>MP Net Shipped GMV</t>
  </si>
  <si>
    <t>mpNetShippedGMV</t>
  </si>
  <si>
    <t>mpRefundedGMV + mpGrossShippedGMV + (mpChangeinPendingShipment)*0</t>
  </si>
  <si>
    <t>927_MPLACE</t>
  </si>
  <si>
    <t>MP Refunded GMV</t>
  </si>
  <si>
    <t>mpRefundedGMV</t>
  </si>
  <si>
    <t>958_MPLACE</t>
  </si>
  <si>
    <t>MP Gross Shipped GMV</t>
  </si>
  <si>
    <t>mpGrossShippedGMV</t>
  </si>
  <si>
    <t>mpGrossAuthGMV - mpChangeinPendingShipment</t>
  </si>
  <si>
    <t>955_MPLACE</t>
  </si>
  <si>
    <t xml:space="preserve">MP Change in Pending Shipment </t>
  </si>
  <si>
    <t>mpChangeinPendingShipment</t>
  </si>
  <si>
    <t>954_MPLACE</t>
  </si>
  <si>
    <t>MP Gross Auth GMV</t>
  </si>
  <si>
    <t>mpGrossAuthGMV</t>
  </si>
  <si>
    <t>959_MPLACE</t>
  </si>
  <si>
    <t xml:space="preserve">MP Gross Profit  </t>
  </si>
  <si>
    <t>mpGrossProfit</t>
  </si>
  <si>
    <t>mpNetSales - mpCostofSales</t>
  </si>
  <si>
    <t>970_MPLACE</t>
  </si>
  <si>
    <t>MP Net Sales</t>
  </si>
  <si>
    <t>mpNetSales</t>
  </si>
  <si>
    <t>mpServiceIncome + otherNetSales</t>
  </si>
  <si>
    <t>961_MPLACE</t>
  </si>
  <si>
    <t>MP Service Income</t>
  </si>
  <si>
    <t>mpServiceIncome</t>
  </si>
  <si>
    <t>mpNetCommission + totalCommAdjustment + wfsFees</t>
  </si>
  <si>
    <t>962_MPLACE</t>
  </si>
  <si>
    <t>MP Net Commission</t>
  </si>
  <si>
    <t>mpNetCommission</t>
  </si>
  <si>
    <t>mpBaseCommision + mpCommAdjustment + sellerSubsidy</t>
  </si>
  <si>
    <t>974_MPLACE</t>
  </si>
  <si>
    <t>MP Base Commision</t>
  </si>
  <si>
    <t>mpBaseCommision</t>
  </si>
  <si>
    <t>964_MPLACE</t>
  </si>
  <si>
    <t>MP Comm Adjustment</t>
  </si>
  <si>
    <t>mpCommAdjustment</t>
  </si>
  <si>
    <t>909_MPLACE</t>
  </si>
  <si>
    <t>Seller Subsidy</t>
  </si>
  <si>
    <t>sellerSubsidy</t>
  </si>
  <si>
    <t>965_MPLACE</t>
  </si>
  <si>
    <t>Total Comm Adjustment</t>
  </si>
  <si>
    <t>totalCommAdjustment</t>
  </si>
  <si>
    <t>goodwillRefund + dispute + returnShipping + otherCommAdj</t>
  </si>
  <si>
    <t>911_MPLACE</t>
  </si>
  <si>
    <t>Goodwill Refund</t>
  </si>
  <si>
    <t>goodwillRefund</t>
  </si>
  <si>
    <t>912_MPLACE</t>
  </si>
  <si>
    <t>Dispute</t>
  </si>
  <si>
    <t>dispute</t>
  </si>
  <si>
    <t>913_MPLACE</t>
  </si>
  <si>
    <t>Return Shipping</t>
  </si>
  <si>
    <t>returnShipping</t>
  </si>
  <si>
    <t>914_MPLACE</t>
  </si>
  <si>
    <t>Other Comm Adj</t>
  </si>
  <si>
    <t>otherCommAdj</t>
  </si>
  <si>
    <t>915_MPLACE</t>
  </si>
  <si>
    <t>WFS Fees</t>
  </si>
  <si>
    <t>wfsFees</t>
  </si>
  <si>
    <t>966_MPLACE</t>
  </si>
  <si>
    <t>Other Net Sales</t>
  </si>
  <si>
    <t>otherNetSales</t>
  </si>
  <si>
    <t>mpLiquidationRevenue + mpShippingRevenue + wPlusParamount + mpChargebacks</t>
  </si>
  <si>
    <t>919_MPLACE</t>
  </si>
  <si>
    <t>MP Shipping Revenue</t>
  </si>
  <si>
    <t>mpShippingRevenue</t>
  </si>
  <si>
    <t>920_MPLACE</t>
  </si>
  <si>
    <t>W+ Paramount</t>
  </si>
  <si>
    <t>wPlusParamount</t>
  </si>
  <si>
    <t>967_MPLACE</t>
  </si>
  <si>
    <t>MP Cost of Sales</t>
  </si>
  <si>
    <t>mpCostofSales</t>
  </si>
  <si>
    <t>mpCogs</t>
  </si>
  <si>
    <t>968_MPLACE</t>
  </si>
  <si>
    <t>MP COGS</t>
  </si>
  <si>
    <t>returnsLabor + mpShippingExpense  + variableFulfillment + fixedFulfillmentCogs</t>
  </si>
  <si>
    <t>923_MPLACE</t>
  </si>
  <si>
    <t>Returns labor</t>
  </si>
  <si>
    <t>returnsLabor</t>
  </si>
  <si>
    <t>924_MPLACE</t>
  </si>
  <si>
    <t>MP Shipping Expense</t>
  </si>
  <si>
    <t>mpShippingExpense</t>
  </si>
  <si>
    <t>4505010 + (4507023, 4507022,4507072,4507012,4507071,4507021,4507032,4507082,4507011, 4507031,4507051,4507081)</t>
  </si>
  <si>
    <t>925_MPLACE</t>
  </si>
  <si>
    <t>Variable Fulfillment</t>
  </si>
  <si>
    <t>variableFulfillment</t>
  </si>
  <si>
    <t>973_MPLACE</t>
  </si>
  <si>
    <t>Fixed Fulfillment COGS</t>
  </si>
  <si>
    <t>fixedFulfillmentCogs</t>
  </si>
  <si>
    <t>3201_LABOR</t>
  </si>
  <si>
    <t>Labor Hours</t>
  </si>
  <si>
    <t>laborHours</t>
  </si>
  <si>
    <t>actualHours</t>
  </si>
  <si>
    <t>3202_LABOR</t>
  </si>
  <si>
    <t>Actual Hours</t>
  </si>
  <si>
    <t>digitalexSparkLaborHours + nonDigital</t>
  </si>
  <si>
    <t>3203_LABOR</t>
  </si>
  <si>
    <t>Non-Digital</t>
  </si>
  <si>
    <t>nonDigital</t>
  </si>
  <si>
    <t>totalLaborHours - digitalexSparkLaborHours</t>
  </si>
  <si>
    <t>3204_LABOR</t>
  </si>
  <si>
    <t>Digital ex. Spark Labor Hours</t>
  </si>
  <si>
    <t>digitalexSparkLaborHours</t>
  </si>
  <si>
    <t>workedUnitsDigitalexSpark/ uPLHDigitalexSpark</t>
  </si>
  <si>
    <t>3205_LABOR</t>
  </si>
  <si>
    <t>Wage Rate (Implied)</t>
  </si>
  <si>
    <t>wageRateImplied</t>
  </si>
  <si>
    <t>workedWagesTotal/ actualHours</t>
  </si>
  <si>
    <t>3206_LABOR</t>
  </si>
  <si>
    <t>Productivity</t>
  </si>
  <si>
    <t>productivity</t>
  </si>
  <si>
    <t>units + digitalMix + uPLHSL + uPLHDigital + uPLHBIS</t>
  </si>
  <si>
    <t>3207_LABOR</t>
  </si>
  <si>
    <t>Units</t>
  </si>
  <si>
    <t>units</t>
  </si>
  <si>
    <t>digitalWorkedUnits + bISWorkedUnits</t>
  </si>
  <si>
    <t>3208_LABOR</t>
  </si>
  <si>
    <t>Digital Worked Units</t>
  </si>
  <si>
    <t>digitalWorkedUnits</t>
  </si>
  <si>
    <t>workedUnitsDigitalexSpark + workedUnitsDigitalSpark</t>
  </si>
  <si>
    <t>digitalWorkedUnits/(workedUnitsDigitalSpark)</t>
  </si>
  <si>
    <t>3209_LABOR</t>
  </si>
  <si>
    <t>Worked Units (Digital ex Spark)</t>
  </si>
  <si>
    <t>workedUnitsDigitalexSpark</t>
  </si>
  <si>
    <t>3210_LABOR</t>
  </si>
  <si>
    <t>Worked Units (Digital Spark)</t>
  </si>
  <si>
    <t>workedUnitsDigitalSpark</t>
  </si>
  <si>
    <t>3211_LABOR</t>
  </si>
  <si>
    <t>BIS Worked Units</t>
  </si>
  <si>
    <t>bISWorkedUnits</t>
  </si>
  <si>
    <t>workedUnitsStoreLabor - digitalWorkedUnits</t>
  </si>
  <si>
    <t>3212_LABOR</t>
  </si>
  <si>
    <t>Digital Mix</t>
  </si>
  <si>
    <t>digitalMix</t>
  </si>
  <si>
    <t>digitalWorkedUnits/ units</t>
  </si>
  <si>
    <t>3213_LABOR</t>
  </si>
  <si>
    <t>UPLH (Digital)</t>
  </si>
  <si>
    <t>uPLHDigital</t>
  </si>
  <si>
    <t>digitalWorkedUnits/ digitalexSparkLaborHours</t>
  </si>
  <si>
    <t>3214_LABOR</t>
  </si>
  <si>
    <t>UPLH (Digital ex Spark)</t>
  </si>
  <si>
    <t>uPLHDigitalexSpark</t>
  </si>
  <si>
    <t>3215_LABOR</t>
  </si>
  <si>
    <t>UPLH (BIS)</t>
  </si>
  <si>
    <t>uPLHBIS</t>
  </si>
  <si>
    <t>bISWorkedUnits/ nonDigital</t>
  </si>
  <si>
    <t>3218_LABOR</t>
  </si>
  <si>
    <t>Worked Wages Total</t>
  </si>
  <si>
    <t>workedWagesTotal</t>
  </si>
  <si>
    <t>_101HourlyWagesNonOvertimeSL + _102OvertimeWagesSL + _105TemporaryLaborWagesSL</t>
  </si>
  <si>
    <t>3219_LABOR</t>
  </si>
  <si>
    <t>[1.01] Hourly Wages (Non-Overtime) SL</t>
  </si>
  <si>
    <t>_101HourlyWagesNonOvertimeSL</t>
  </si>
  <si>
    <t>baseWageRate * baseHours</t>
  </si>
  <si>
    <t>A5101010</t>
  </si>
  <si>
    <t>_101HourlyWagesNonOvertimeSL/(baseHours)</t>
  </si>
  <si>
    <t>3220_LABOR</t>
  </si>
  <si>
    <t>Base Wage Rate</t>
  </si>
  <si>
    <t>baseWageRate</t>
  </si>
  <si>
    <t>3221_LABOR</t>
  </si>
  <si>
    <t>Base Hours</t>
  </si>
  <si>
    <t>baseHours</t>
  </si>
  <si>
    <t>totalLaborHours - oTHours</t>
  </si>
  <si>
    <t>3222_LABOR</t>
  </si>
  <si>
    <t>Total Labor Hours</t>
  </si>
  <si>
    <t>totalLaborHours</t>
  </si>
  <si>
    <t>workedUnitsStoreLabor/ uPLHSL</t>
  </si>
  <si>
    <t>3223_LABOR</t>
  </si>
  <si>
    <t>UPLH (SL)</t>
  </si>
  <si>
    <t>uPLHSL</t>
  </si>
  <si>
    <t>3224_LABOR</t>
  </si>
  <si>
    <t>Worked Units (Store Labor)</t>
  </si>
  <si>
    <t>workedUnitsStoreLabor</t>
  </si>
  <si>
    <t>grossOpsUnits + returnedOpsUnits</t>
  </si>
  <si>
    <t>3225_LABOR</t>
  </si>
  <si>
    <t>Returned Ops Units</t>
  </si>
  <si>
    <t>returnedOpsUnits</t>
  </si>
  <si>
    <t>grossOpsUnits * returnedPctofOps</t>
  </si>
  <si>
    <t>3226_LABOR</t>
  </si>
  <si>
    <t>Returned % of Ops</t>
  </si>
  <si>
    <t>returnedPctofOps</t>
  </si>
  <si>
    <t>returnedOpsUnits/grossOpsUnits</t>
  </si>
  <si>
    <t>3227_LABOR</t>
  </si>
  <si>
    <t>[1.02] Overtime Wages SL</t>
  </si>
  <si>
    <t>_102OvertimeWagesSL</t>
  </si>
  <si>
    <t>oTHours * oTWageRate</t>
  </si>
  <si>
    <t>A5101500</t>
  </si>
  <si>
    <t>3228_LABOR</t>
  </si>
  <si>
    <t>OT Hours</t>
  </si>
  <si>
    <t>oTHours</t>
  </si>
  <si>
    <t>oTHoursPctofTotalHours * totalLaborHours</t>
  </si>
  <si>
    <t>3229_LABOR</t>
  </si>
  <si>
    <t>OT Hours % of Total Hours</t>
  </si>
  <si>
    <t>oTHoursPctofTotalHours</t>
  </si>
  <si>
    <t>_102OvertimeWagesSL/(oTHours)</t>
  </si>
  <si>
    <t>3230_LABOR</t>
  </si>
  <si>
    <t>OT Wage Rate</t>
  </si>
  <si>
    <t>oTWageRate</t>
  </si>
  <si>
    <t>3231_LABOR</t>
  </si>
  <si>
    <t>[1.05] Temporary Labor - Wages SL</t>
  </si>
  <si>
    <t>_105TemporaryLaborWagesSL</t>
  </si>
  <si>
    <t>_3rdPartyHours * _3rdPartyWageRate</t>
  </si>
  <si>
    <t>A5101013</t>
  </si>
  <si>
    <t>3232_LABOR</t>
  </si>
  <si>
    <t>3rd Party Hours</t>
  </si>
  <si>
    <t>_3rdPartyHours</t>
  </si>
  <si>
    <t>(temporaryLaborPctofWagesandOT * (_101HourlyWagesNonOvertimeSL +_102OvertimeWagesSL))/ _3rdPartyWageRate</t>
  </si>
  <si>
    <t>3233_LABOR</t>
  </si>
  <si>
    <t>Temporary Labor % of Wages and OT</t>
  </si>
  <si>
    <t>temporaryLaborPctofWagesandOT</t>
  </si>
  <si>
    <t>_105TemporaryLaborWagesSL/(_101HourlyWagesNonOvertimeSL + _102OvertimeWagesSL)</t>
  </si>
  <si>
    <t>3234_LABOR</t>
  </si>
  <si>
    <t>3rd Party Wage Rate</t>
  </si>
  <si>
    <t>_3rdPartyWageRate</t>
  </si>
  <si>
    <t>3235_LABOR</t>
  </si>
  <si>
    <t>Gross UOM Units</t>
  </si>
  <si>
    <t>grossUOMUnits</t>
  </si>
  <si>
    <t>3236_LABOR</t>
  </si>
  <si>
    <t>Gross Ops Units</t>
  </si>
  <si>
    <t>grossOpsUnits</t>
  </si>
  <si>
    <t>grossUOMUnits * opsPctofUOM</t>
  </si>
  <si>
    <t>3237_LABOR</t>
  </si>
  <si>
    <t>Ops % of UOM</t>
  </si>
  <si>
    <t>opsPctofUOM</t>
  </si>
  <si>
    <t>grossOpsUnits/grossUOMUnits</t>
  </si>
  <si>
    <t>INHOME_DELIVERY,SCHEDULED_DELIVERY,EVERGREEN_DELIVERY,EXPRESS_DELIVERY,EXPRESS_PICKUP,SCHEDULED_PICKUP,WMT_INSTACART, SHIP_FROM_STORE,UNSCHEDULED_DELIVERY,UNSCHEDULED_PICKUP, INSTORE_INCLUB,OTHER,THIRD_PARTY_WEBSITE,CORE_SERVICES,SERVICES_PHYSICAL,SOFTWARE_SOLUTIONS,OTHER_LMD_3P_PLATFORM,WMT_PHOTO</t>
  </si>
  <si>
    <t>instoreReturnsnewNGnode / grossGMV</t>
  </si>
  <si>
    <t>unitsOps/unitsGrossUOMNG</t>
  </si>
  <si>
    <t>INSTORE_INCLUB,OTHER,THIRD_PARTY_WEBSITE,CORE_SERVICES,SERVICES_PHYSICAL,SOFTWARE_SOLUTIONS,OTHER_LMD_3P_PLATFORM,WMT_PHOTO</t>
  </si>
  <si>
    <t>returnedUnitsUOMNG/unitsGrossUOMNG</t>
  </si>
  <si>
    <t>unitsReturnedOps/unitsOps</t>
  </si>
  <si>
    <t>20031_GMV</t>
  </si>
  <si>
    <t>Units per Order</t>
  </si>
  <si>
    <t>unitsperOrder</t>
  </si>
  <si>
    <t>(unitsGrossUOM/baseChannelOrderCount)</t>
  </si>
  <si>
    <t>1001_SBA</t>
  </si>
  <si>
    <t>INSTORE_INCLUB,OTHER,WMT_PHOTO</t>
  </si>
  <si>
    <t>106_SERVINC</t>
  </si>
  <si>
    <t>Non-driver Inputs (Service Income)</t>
  </si>
  <si>
    <t>232_IBTRANS</t>
  </si>
  <si>
    <t>E2E Transportation</t>
  </si>
  <si>
    <t>e2eTransportation</t>
  </si>
  <si>
    <t>(inboundTotal)*0</t>
  </si>
  <si>
    <t>207_IBTRANS</t>
  </si>
  <si>
    <t>Inbound Total</t>
  </si>
  <si>
    <t>inboundTotal</t>
  </si>
  <si>
    <t>dtInboundTotal + ccInboundTotal</t>
  </si>
  <si>
    <t>208_IBTRANS</t>
  </si>
  <si>
    <t>DT Inbound Total</t>
  </si>
  <si>
    <t>dtInboundTotal</t>
  </si>
  <si>
    <t>dtInboundIncomeTotal + dtInboundExpenseInclFuelAndNonControllable</t>
  </si>
  <si>
    <t>209_IBTRANS</t>
  </si>
  <si>
    <t>DT Inbound Income Total</t>
  </si>
  <si>
    <t>dtInboundIncomeTotal</t>
  </si>
  <si>
    <t>dtInboundExpenseInclFuelAndNonControllable + dtInboundIncomeAdjustment</t>
  </si>
  <si>
    <t>210_IBTRANS</t>
  </si>
  <si>
    <t>DT Inbound Income Adjustment</t>
  </si>
  <si>
    <t>dtInboundIncomeAdjustment</t>
  </si>
  <si>
    <t>IB TRANSPORTATION</t>
  </si>
  <si>
    <t>211_IBTRANS</t>
  </si>
  <si>
    <t>DT Inbound Expense incl Fuel and Non Controllable</t>
  </si>
  <si>
    <t>dtInboundExpenseInclFuelAndNonControllable</t>
  </si>
  <si>
    <t>dtInboundExpense + dtInboundFuelExpense + dtNoncontrollableExpensesIb</t>
  </si>
  <si>
    <t>212_IBTRANS</t>
  </si>
  <si>
    <t>DT Inbound Expense</t>
  </si>
  <si>
    <t>dtInboundExpense</t>
  </si>
  <si>
    <t>inboundExpense3PtlDcIb + inboundExpenseFleetDcIb + inboundExpenseImDcIb + inboundExpenseSpDcIb + inboundExpenseLtlDcIb</t>
  </si>
  <si>
    <t>233_IBTRANS</t>
  </si>
  <si>
    <t>Inbound Expense 3PTL DC IB</t>
  </si>
  <si>
    <t>inboundExpense3PtlDcIb</t>
  </si>
  <si>
    <t>costPerMile3PtlDcIb * miles3PtlDcIb</t>
  </si>
  <si>
    <t>125_IBTRANS</t>
  </si>
  <si>
    <t>Cost per Mile 3PTL DC IB</t>
  </si>
  <si>
    <t>costPerMile3PtlDcIb</t>
  </si>
  <si>
    <t>inboundExpense3PtlDcIb / miles3PtlDcIb</t>
  </si>
  <si>
    <t>234_IBTRANS</t>
  </si>
  <si>
    <t>Miles 3PTL DC IB</t>
  </si>
  <si>
    <t>miles3PtlDcIb</t>
  </si>
  <si>
    <t>lengthOfHaul3PtlDcIb * trailers3PtlDcIb</t>
  </si>
  <si>
    <t>102_IBTRANS</t>
  </si>
  <si>
    <t>Length of Haul 3PTL DC IB</t>
  </si>
  <si>
    <t>lengthOfHaul3PtlDcIb</t>
  </si>
  <si>
    <t>miles3PtlDcIb / trailers3PtlDcIb</t>
  </si>
  <si>
    <t>235_IBTRANS</t>
  </si>
  <si>
    <t>Trailers 3PTL DC IB</t>
  </si>
  <si>
    <t>trailers3PtlDcIb</t>
  </si>
  <si>
    <t>collectCases3PtlDcIb / casesPerTrailer3PtlDcIb</t>
  </si>
  <si>
    <t>103_IBTRANS</t>
  </si>
  <si>
    <t>Cases per Trailer 3PTL DC IB</t>
  </si>
  <si>
    <t>casesPerTrailer3PtlDcIb</t>
  </si>
  <si>
    <t>collectCases3PtlDcIb / trailers3PtlDcIb</t>
  </si>
  <si>
    <t>104_IBTRANS</t>
  </si>
  <si>
    <t>Collect Cases 3PTL DC IB</t>
  </si>
  <si>
    <t>collectCases3PtlDcIb</t>
  </si>
  <si>
    <t>236_IBTRANS</t>
  </si>
  <si>
    <t>Inbound Expense Fleet DC IB</t>
  </si>
  <si>
    <t>inboundExpenseFleetDcIb</t>
  </si>
  <si>
    <t>costPerMileFleetDcIb * milesFleetDcIb</t>
  </si>
  <si>
    <t>126_IBTRANS</t>
  </si>
  <si>
    <t>Cost per Mile Fleet DC IB</t>
  </si>
  <si>
    <t>costPerMileFleetDcIb</t>
  </si>
  <si>
    <t>inboundExpenseFleetDcIb / milesFleetDcIb</t>
  </si>
  <si>
    <t>237_IBTRANS</t>
  </si>
  <si>
    <t>Miles Fleet DC IB</t>
  </si>
  <si>
    <t>milesFleetDcIb</t>
  </si>
  <si>
    <t>lengthOfHaulFleetDcIb * trailersFleetDcIb</t>
  </si>
  <si>
    <t>107_IBTRANS</t>
  </si>
  <si>
    <t>Length of Haul Fleet DC IB</t>
  </si>
  <si>
    <t>lengthOfHaulFleetDcIb</t>
  </si>
  <si>
    <t>milesFleetDcIb / trailersFleetDcIb</t>
  </si>
  <si>
    <t>238_IBTRANS</t>
  </si>
  <si>
    <t>Trailers Fleet DC IB</t>
  </si>
  <si>
    <t>trailersFleetDcIb</t>
  </si>
  <si>
    <t>collectCasesFleetDcIb / casesPerTrailerFleetDcIb</t>
  </si>
  <si>
    <t>108_IBTRANS</t>
  </si>
  <si>
    <t>Cases per Trailer Fleet DC IB</t>
  </si>
  <si>
    <t>casesPerTrailerFleetDcIb</t>
  </si>
  <si>
    <t>collectCasesFleetDcIb / trailersFleetDcIb</t>
  </si>
  <si>
    <t>109_IBTRANS</t>
  </si>
  <si>
    <t>Collect Cases Fleet DC IB</t>
  </si>
  <si>
    <t>collectCasesFleetDcIb</t>
  </si>
  <si>
    <t>271_IBTRANS</t>
  </si>
  <si>
    <t>Inbound Expense IM DC IB</t>
  </si>
  <si>
    <t>inboundExpenseImDcIb</t>
  </si>
  <si>
    <t>costPerMileImDcIb * milesImDcIb</t>
  </si>
  <si>
    <t>127_IBTRANS</t>
  </si>
  <si>
    <t>Cost per Mile IM DC IB</t>
  </si>
  <si>
    <t>costPerMileImDcIb</t>
  </si>
  <si>
    <t>inboundExpenseImDcIb / milesImDcIb</t>
  </si>
  <si>
    <t>239_IBTRANS</t>
  </si>
  <si>
    <t>Miles IM DC IB</t>
  </si>
  <si>
    <t>milesImDcIb</t>
  </si>
  <si>
    <t>lengthOfHaulImDcIb * trailersImDcIb</t>
  </si>
  <si>
    <t>112_IBTRANS</t>
  </si>
  <si>
    <t>Length of Haul IM DC IB</t>
  </si>
  <si>
    <t>lengthOfHaulImDcIb</t>
  </si>
  <si>
    <t>milesImDcIb / trailersImDcIb</t>
  </si>
  <si>
    <t>240_IBTRANS</t>
  </si>
  <si>
    <t>Trailers IM DC IB</t>
  </si>
  <si>
    <t>trailersImDcIb</t>
  </si>
  <si>
    <t xml:space="preserve">collectCasesImDcIb / casesPerTrailerImDcIb </t>
  </si>
  <si>
    <t>113_IBTRANS</t>
  </si>
  <si>
    <t>Cases per Trailer IM DC IB</t>
  </si>
  <si>
    <t>casesPerTrailerImDcIb</t>
  </si>
  <si>
    <t>collectCasesImDcIb / trailersImDcIb</t>
  </si>
  <si>
    <t>114_IBTRANS</t>
  </si>
  <si>
    <t>Collect Cases IM DC IB</t>
  </si>
  <si>
    <t>collectCasesImDcIb</t>
  </si>
  <si>
    <t>241_IBTRANS</t>
  </si>
  <si>
    <t>Inbound Expense SP DC IB</t>
  </si>
  <si>
    <t>inboundExpenseSpDcIb</t>
  </si>
  <si>
    <t>costPerMileSpDcIb * milesSpDcIb</t>
  </si>
  <si>
    <t>128_IBTRANS</t>
  </si>
  <si>
    <t>Cost per Mile SP DC IB</t>
  </si>
  <si>
    <t>costPerMileSpDcIb</t>
  </si>
  <si>
    <t>inboundExpenseSpDcIb / milesSpDcIb</t>
  </si>
  <si>
    <t>242_IBTRANS</t>
  </si>
  <si>
    <t>Miles SP DC IB</t>
  </si>
  <si>
    <t>milesSpDcIb</t>
  </si>
  <si>
    <t>lengthOfHaulSpDcIb * trailersSpDcIb</t>
  </si>
  <si>
    <t>117_IBTRANS</t>
  </si>
  <si>
    <t>Length of Haul SP DC IB</t>
  </si>
  <si>
    <t>lengthOfHaulSpDcIb</t>
  </si>
  <si>
    <t>milesSpDcIb / trailersSpDcIb</t>
  </si>
  <si>
    <t>243_IBTRANS</t>
  </si>
  <si>
    <t>Trailers SP DC IB</t>
  </si>
  <si>
    <t>trailersSpDcIb</t>
  </si>
  <si>
    <t>collectCasesSpDcIb / casesPerTrailerSpDcIb</t>
  </si>
  <si>
    <t>118_IBTRANS</t>
  </si>
  <si>
    <t>Cases per Trailer SP DC IB</t>
  </si>
  <si>
    <t>casesPerTrailerSpDcIb</t>
  </si>
  <si>
    <t>collectCasesSpDcIb / trailersSpDcIb</t>
  </si>
  <si>
    <t>119_IBTRANS</t>
  </si>
  <si>
    <t>Collect Cases SP DC IB</t>
  </si>
  <si>
    <t>collectCasesSpDcIb</t>
  </si>
  <si>
    <t>244_IBTRANS</t>
  </si>
  <si>
    <t>Inbound Expense LTL DC IB</t>
  </si>
  <si>
    <t>inboundExpenseLtlDcIb</t>
  </si>
  <si>
    <t>costPerMileLtlDcIb * milesLtlDcIb</t>
  </si>
  <si>
    <t>129_IBTRANS</t>
  </si>
  <si>
    <t>Cost per Mile LTL DC IB</t>
  </si>
  <si>
    <t>costPerMileLtlDcIb</t>
  </si>
  <si>
    <t>inboundExpenseLtlDcIb / milesLtlDcIb</t>
  </si>
  <si>
    <t>245_IBTRANS</t>
  </si>
  <si>
    <t>Miles LTL DC IB</t>
  </si>
  <si>
    <t>milesLtlDcIb</t>
  </si>
  <si>
    <t>lengthOfHaulLtlDcIb * trailersLtlDcIb</t>
  </si>
  <si>
    <t>122_IBTRANS</t>
  </si>
  <si>
    <t>Length of Haul LTL DC IB</t>
  </si>
  <si>
    <t>lengthOfHaulLtlDcIb</t>
  </si>
  <si>
    <t>milesLtlDcIb / trailersLtlDcIb</t>
  </si>
  <si>
    <t>246_IBTRANS</t>
  </si>
  <si>
    <t>Trailers LTL DC IB</t>
  </si>
  <si>
    <t>trailersLtlDcIb</t>
  </si>
  <si>
    <t>collectCasesLtlDcIb / casesPerTrailerLtlDcIb</t>
  </si>
  <si>
    <t>123_IBTRANS</t>
  </si>
  <si>
    <t>Cases per Trailer LTL DC IB</t>
  </si>
  <si>
    <t>casesPerTrailerLtlDcIb</t>
  </si>
  <si>
    <t>collectCasesLtlDcIb / trailersLtlDcIb</t>
  </si>
  <si>
    <t>124_IBTRANS</t>
  </si>
  <si>
    <t>Collect Cases LTL DC IB</t>
  </si>
  <si>
    <t>collectCasesLtlDcIb</t>
  </si>
  <si>
    <t>213_IBTRANS</t>
  </si>
  <si>
    <t>DT Inbound Fuel Expense</t>
  </si>
  <si>
    <t>dtInboundFuelExpense</t>
  </si>
  <si>
    <t>inboundFuelExpense3PtlDcIb + inboundFuelExpenseFleetDcIb + inboundFuelExpenseImDcIb + inboundFuelExpenseSpDcIb + inboundFuelExpenseLtlDcIb</t>
  </si>
  <si>
    <t>247_IBTRANS</t>
  </si>
  <si>
    <t>Inbound Fuel Expense 3PTL DC IB</t>
  </si>
  <si>
    <t>inboundFuelExpense3PtlDcIb</t>
  </si>
  <si>
    <t>ratePerMile3PtlDcIb * (lengthOfHaul3PtlDcIb * trailers3PtlDcIb)</t>
  </si>
  <si>
    <t>130_IBTRANS</t>
  </si>
  <si>
    <t>Rate per Mile 3PTL DC IB</t>
  </si>
  <si>
    <t>ratePerMile3PtlDcIb</t>
  </si>
  <si>
    <t>inboundFuelExpense3PtlDcIb / miles3PtlDcIb</t>
  </si>
  <si>
    <t>248_IBTRANS</t>
  </si>
  <si>
    <t>Inbound Fuel Expense Fleet DC IB</t>
  </si>
  <si>
    <t>inboundFuelExpenseFleetDcIb</t>
  </si>
  <si>
    <t>ratePerMileFleetDcIb * (lengthOfHaulFleetDcIb * trailersFleetDcIb)</t>
  </si>
  <si>
    <t>131_IBTRANS</t>
  </si>
  <si>
    <t>Rate per Mile Fleet DC IB</t>
  </si>
  <si>
    <t>ratePerMileFleetDcIb</t>
  </si>
  <si>
    <t>inboundFuelExpenseFleetDcIb / milesFleetDcIb</t>
  </si>
  <si>
    <t>249_IBTRANS</t>
  </si>
  <si>
    <t>Inbound Fuel Expense IM DC IB</t>
  </si>
  <si>
    <t>inboundFuelExpenseImDcIb</t>
  </si>
  <si>
    <t>ratePerMileImDcIb * (lengthOfHaulImDcIb * trailersImDcIb)</t>
  </si>
  <si>
    <t>132_IBTRANS</t>
  </si>
  <si>
    <t>Rate per Mile IM DC IB</t>
  </si>
  <si>
    <t>ratePerMileImDcIb</t>
  </si>
  <si>
    <t>inboundFuelExpenseImDcIb / milesImDcIb</t>
  </si>
  <si>
    <t>250_IBTRANS</t>
  </si>
  <si>
    <t>Inbound Fuel Expense SP DC IB</t>
  </si>
  <si>
    <t>inboundFuelExpenseSpDcIb</t>
  </si>
  <si>
    <t>ratePerMileSpDcIb * (lengthOfHaulSpDcIb * trailersSpDcIb)</t>
  </si>
  <si>
    <t>133_IBTRANS</t>
  </si>
  <si>
    <t>Rate per Mile SP DC IB</t>
  </si>
  <si>
    <t>ratePerMileSpDcIb</t>
  </si>
  <si>
    <t>inboundFuelExpenseSpDcIb / milesSpDcIb</t>
  </si>
  <si>
    <t>251_IBTRANS</t>
  </si>
  <si>
    <t>Inbound Fuel Expense LTL DC IB</t>
  </si>
  <si>
    <t>inboundFuelExpenseLtlDcIb</t>
  </si>
  <si>
    <t>ratePerMileIbDcLtl * (lengthOfHaulLtlDcIb * trailersLtlDcIb)</t>
  </si>
  <si>
    <t>134_IBTRANS</t>
  </si>
  <si>
    <t>Rate per Mile IB DC LTL</t>
  </si>
  <si>
    <t>ratePerMileIbDcLtl</t>
  </si>
  <si>
    <t>inboundFuelExpenseLtlDcIb / milesLtlDcIb</t>
  </si>
  <si>
    <t>214_IBTRANS</t>
  </si>
  <si>
    <t>DT Noncontrollable Expenses IB</t>
  </si>
  <si>
    <t>dtNoncontrollableExpensesIb</t>
  </si>
  <si>
    <t>noncontrollableExpenses3PtlDcIb + noncontrollableExpensesFleetDcIb + noncontrollableExpensesImDcIb + noncontrollableExpensesSpDcIb + noncontrollableExpensesLtlDcIb</t>
  </si>
  <si>
    <t>215_IBTRANS</t>
  </si>
  <si>
    <t>Noncontrollable Expenses 3PTL DC IB</t>
  </si>
  <si>
    <t>noncontrollableExpenses3PtlDcIb</t>
  </si>
  <si>
    <t>216_IBTRANS</t>
  </si>
  <si>
    <t>Noncontrollable Expenses Fleet DC IB</t>
  </si>
  <si>
    <t>noncontrollableExpensesFleetDcIb</t>
  </si>
  <si>
    <t>217_IBTRANS</t>
  </si>
  <si>
    <t>Noncontrollable Expenses IM DC IB</t>
  </si>
  <si>
    <t>noncontrollableExpensesImDcIb</t>
  </si>
  <si>
    <t>218_IBTRANS</t>
  </si>
  <si>
    <t>Noncontrollable Expenses SP DC IB</t>
  </si>
  <si>
    <t>noncontrollableExpensesSpDcIb</t>
  </si>
  <si>
    <t>219_IBTRANS</t>
  </si>
  <si>
    <t>Noncontrollable Expenses LTL DC IB</t>
  </si>
  <si>
    <t>noncontrollableExpensesLtlDcIb</t>
  </si>
  <si>
    <t>220_IBTRANS</t>
  </si>
  <si>
    <t>CC Inbound Total</t>
  </si>
  <si>
    <t>ccInboundTotal</t>
  </si>
  <si>
    <t>ccInboundIncomeTotal + ccInboundExpenseInclFuelAndNonControllable</t>
  </si>
  <si>
    <t>221_IBTRANS</t>
  </si>
  <si>
    <t>CC Inbound Income Total</t>
  </si>
  <si>
    <t>ccInboundIncomeTotal</t>
  </si>
  <si>
    <t>ccInboundExpenseInclFuelAndNoncontrollable + ccInboundIncomeAdjustment</t>
  </si>
  <si>
    <t>222_IBTRANS</t>
  </si>
  <si>
    <t>CC Inbound Income Adjustment</t>
  </si>
  <si>
    <t>ccInboundIncomeAdjustment</t>
  </si>
  <si>
    <t>223_IBTRANS</t>
  </si>
  <si>
    <t>CC Inbound Expense incl Fuel and NonControllable</t>
  </si>
  <si>
    <t>ccInboundExpenseInclFuelAndNoncontrollable</t>
  </si>
  <si>
    <t>ccInboundExpense + ccInboundFuelExpense + ccNoncontrollableExpensesIb</t>
  </si>
  <si>
    <t>224_IBTRANS</t>
  </si>
  <si>
    <t>CC Inbound Expense</t>
  </si>
  <si>
    <t>ccInboundExpense</t>
  </si>
  <si>
    <t>inboundExpense3PtlCcDcIb + inboundExpenseFleetCcDcIb + inboundExpenseImCcDcIb + inboundExpenseSpCcDcIb + inboundExpenseLtlCcDcIb + inboundExpense3PtlCcIb + inboundExpenseFleetCcIb + inboundExpenseImCcIb + inboundExpenseSpCcIb + inboundExpenseLtlCcIb</t>
  </si>
  <si>
    <t>135_IBTRANS</t>
  </si>
  <si>
    <t>Inbound Expense 3PTL CC DC IB</t>
  </si>
  <si>
    <t>inboundExpense3PtlCcDcIb</t>
  </si>
  <si>
    <t>costPerMile3PtlCcDcIb * miles3PtlCcDcIb</t>
  </si>
  <si>
    <t>186_IBTRANS</t>
  </si>
  <si>
    <t>Cost per Mile 3PTL CC DC IB</t>
  </si>
  <si>
    <t>costPerMile3PtlCcDcIb</t>
  </si>
  <si>
    <t>inboundExpense3PtlCcDcIb / miles3PtlCcDcIb</t>
  </si>
  <si>
    <t>252_IBTRANS</t>
  </si>
  <si>
    <t>Miles 3PTL CC DC IB</t>
  </si>
  <si>
    <t>miles3PtlCcDcIb</t>
  </si>
  <si>
    <t>lengthOfHaul3PtlCcDcIb * trailers3PtlCcDcIb</t>
  </si>
  <si>
    <t>137_IBTRANS</t>
  </si>
  <si>
    <t>Length of Haul 3PTL CC DC IB</t>
  </si>
  <si>
    <t>lengthOfHaul3PtlCcDcIb</t>
  </si>
  <si>
    <t>miles3PtlCcDcIb / trailers3PtlCcDcIb</t>
  </si>
  <si>
    <t>253_IBTRANS</t>
  </si>
  <si>
    <t>Trailers 3PTL CC DC IB</t>
  </si>
  <si>
    <t>trailers3PtlCcDcIb</t>
  </si>
  <si>
    <t xml:space="preserve">collectCases3PtlCcDcIb / casesPerTrailer3PtlCcDcIb </t>
  </si>
  <si>
    <t>138_IBTRANS</t>
  </si>
  <si>
    <t>Cases per Trailer 3PTL CC DC IB</t>
  </si>
  <si>
    <t>casesPerTrailer3PtlCcDcIb</t>
  </si>
  <si>
    <t>collectCases3PtlCcDcIb / trailers3PtlCcDcIb</t>
  </si>
  <si>
    <t>139_IBTRANS</t>
  </si>
  <si>
    <t>Collect Cases 3PTL CC DC IB</t>
  </si>
  <si>
    <t>collectCases3PtlCcDcIb</t>
  </si>
  <si>
    <t>140_IBTRANS</t>
  </si>
  <si>
    <t>Inbound Expense Fleet CC DC IB</t>
  </si>
  <si>
    <t>inboundExpenseFleetCcDcIb</t>
  </si>
  <si>
    <t>costPerMileFleetCcDcIb * milesFleetCcDcIb</t>
  </si>
  <si>
    <t>187_IBTRANS</t>
  </si>
  <si>
    <t>Cost per Mile Fleet CC DC IB</t>
  </si>
  <si>
    <t>costPerMileFleetCcDcIb</t>
  </si>
  <si>
    <t>inboundExpenseFleetCcDcIb / milesFleetCcDcIb</t>
  </si>
  <si>
    <t>254_IBTRANS</t>
  </si>
  <si>
    <t>Miles Fleet CC DC IB</t>
  </si>
  <si>
    <t>milesFleetCcDcIb</t>
  </si>
  <si>
    <t>lengthOfHaulFleetCcDcIb * trailersFleetCcDcIb</t>
  </si>
  <si>
    <t>142_IBTRANS</t>
  </si>
  <si>
    <t>Length of Haul Fleet CC DC IB</t>
  </si>
  <si>
    <t>lengthOfHaulFleetCcDcIb</t>
  </si>
  <si>
    <t>milesFleetCcDcIb / trailersFleetCcDcIb</t>
  </si>
  <si>
    <t>255_IBTRANS</t>
  </si>
  <si>
    <t>Trailers Fleet CC DC IB</t>
  </si>
  <si>
    <t>trailersFleetCcDcIb</t>
  </si>
  <si>
    <t>collectCasesFleetCcDcIb / casesPerTrailerFleetCcDcIb</t>
  </si>
  <si>
    <t>143_IBTRANS</t>
  </si>
  <si>
    <t>Cases per Trailer Fleet CC DC IB</t>
  </si>
  <si>
    <t>casesPerTrailerFleetCcDcIb</t>
  </si>
  <si>
    <t>collectCasesFleetCcDcIb / trailersFleetCcDcIb</t>
  </si>
  <si>
    <t>144_IBTRANS</t>
  </si>
  <si>
    <t>Collect Cases Fleet CC DC IB</t>
  </si>
  <si>
    <t>collectCasesFleetCcDcIb</t>
  </si>
  <si>
    <t>145_IBTRANS</t>
  </si>
  <si>
    <t>Inbound Expense IM CC DC IB</t>
  </si>
  <si>
    <t>inboundExpenseImCcDcIb</t>
  </si>
  <si>
    <t>costPerMileImCcDcIb * milesImCcDcIb</t>
  </si>
  <si>
    <t>188_IBTRANS</t>
  </si>
  <si>
    <t>Cost per Mile IM CC DC IB</t>
  </si>
  <si>
    <t>costPerMileImCcDcIb</t>
  </si>
  <si>
    <t>inboundExpenseImCcDcIb / milesImCcDcIb</t>
  </si>
  <si>
    <t>256_IBTRANS</t>
  </si>
  <si>
    <t>Miles IM CC DC IB</t>
  </si>
  <si>
    <t>milesImCcDcIb</t>
  </si>
  <si>
    <t>lengthOfHaulImCcDcIb * trailersImCcDcIb</t>
  </si>
  <si>
    <t>147_IBTRANS</t>
  </si>
  <si>
    <t>Length of Haul IM CC DC IB</t>
  </si>
  <si>
    <t>lengthOfHaulImCcDcIb</t>
  </si>
  <si>
    <t>milesImCcDcIb / trailersImCcDcIb</t>
  </si>
  <si>
    <t>257_IBTRANS</t>
  </si>
  <si>
    <t>Trailers IM CC DC IB</t>
  </si>
  <si>
    <t>trailersImCcDcIb</t>
  </si>
  <si>
    <t>collectCasesImCcDcIb / casesPerTrailerImCcDcIb</t>
  </si>
  <si>
    <t>148_IBTRANS</t>
  </si>
  <si>
    <t>Cases per Trailer IM CC DC IB</t>
  </si>
  <si>
    <t>casesPerTrailerImCcDcIb</t>
  </si>
  <si>
    <t>collectCasesImCcDcIb / trailersImCcDcIb</t>
  </si>
  <si>
    <t>149_IBTRANS</t>
  </si>
  <si>
    <t>Collect Cases IM CC DC IB</t>
  </si>
  <si>
    <t>collectCasesImCcDcIb</t>
  </si>
  <si>
    <t>150_IBTRANS</t>
  </si>
  <si>
    <t>Inbound Expense SP CC DC IB</t>
  </si>
  <si>
    <t>inboundExpenseSpCcDcIb</t>
  </si>
  <si>
    <t>costPerMileSpCcDcIb * milesSpCcDcIb</t>
  </si>
  <si>
    <t>189_IBTRANS</t>
  </si>
  <si>
    <t>Cost per Mile SP CC DC IB</t>
  </si>
  <si>
    <t>costPerMileSpCcDcIb</t>
  </si>
  <si>
    <t>inboundExpenseSpCcDcIb / milesSpCcDcIb</t>
  </si>
  <si>
    <t>258_IBTRANS</t>
  </si>
  <si>
    <t>Miles SP CC DC IB</t>
  </si>
  <si>
    <t>milesSpCcDcIb</t>
  </si>
  <si>
    <t>lengthOfHaulSpCcDcIb * trailersSpCcDcIb</t>
  </si>
  <si>
    <t>152_IBTRANS</t>
  </si>
  <si>
    <t>Length of Haul SP CC DC IB</t>
  </si>
  <si>
    <t>lengthOfHaulSpCcDcIb</t>
  </si>
  <si>
    <t>milesSpCcDcIb / trailersSpCcDcIb</t>
  </si>
  <si>
    <t>259_IBTRANS</t>
  </si>
  <si>
    <t>Trailers SP CC DC IB</t>
  </si>
  <si>
    <t>trailersSpCcDcIb</t>
  </si>
  <si>
    <t>collectCasesSpCcDcIb / casesPerTrailerSpCcDcIb</t>
  </si>
  <si>
    <t>153_IBTRANS</t>
  </si>
  <si>
    <t>Cases per Trailer SP CC DC IB</t>
  </si>
  <si>
    <t>casesPerTrailerSpCcDcIb</t>
  </si>
  <si>
    <t>collectCasesSpCcDcIb / trailersSpCcDcIb</t>
  </si>
  <si>
    <t>154_IBTRANS</t>
  </si>
  <si>
    <t>Collect Cases SP CC DC IB</t>
  </si>
  <si>
    <t>collectCasesSpCcDcIb</t>
  </si>
  <si>
    <t>155_IBTRANS</t>
  </si>
  <si>
    <t>Inbound Expense LTL CC DC IB</t>
  </si>
  <si>
    <t>inboundExpenseLtlCcDcIb</t>
  </si>
  <si>
    <t>costPerMileLtlCcDcIb * milesLtlCcDcIb</t>
  </si>
  <si>
    <t>190_IBTRANS</t>
  </si>
  <si>
    <t>Cost per Mile LTL CC DC IB</t>
  </si>
  <si>
    <t>costPerMileLtlCcDcIb</t>
  </si>
  <si>
    <t>inboundExpenseLtlCcDcIb / milesLtlCcDcIb</t>
  </si>
  <si>
    <t>260_IBTRANS</t>
  </si>
  <si>
    <t>Miles LTL CC DC IB</t>
  </si>
  <si>
    <t>milesLtlCcDcIb</t>
  </si>
  <si>
    <t>lengthOfHaulLtlCcDcIb * trailersLtlCcDcIb</t>
  </si>
  <si>
    <t>157_IBTRANS</t>
  </si>
  <si>
    <t>Length of Haul LTL CC DC IB</t>
  </si>
  <si>
    <t>lengthOfHaulLtlCcDcIb</t>
  </si>
  <si>
    <t>milesLtlCcDcIb / trailersLtlCcDcIb</t>
  </si>
  <si>
    <t>261_IBTRANS</t>
  </si>
  <si>
    <t>Trailers LTL CC DC IB</t>
  </si>
  <si>
    <t>trailersLtlCcDcIb</t>
  </si>
  <si>
    <t>collectCasesLtlCcDcIb / casesPerTrailerLtlCcDcIb</t>
  </si>
  <si>
    <t>158_IBTRANS</t>
  </si>
  <si>
    <t>Cases per Trailer LTL CC DC IB</t>
  </si>
  <si>
    <t>casesPerTrailerLtlCcDcIb</t>
  </si>
  <si>
    <t>collectCasesLtlCcDcIb / trailersLtlCcDcIb</t>
  </si>
  <si>
    <t>159_IBTRANS</t>
  </si>
  <si>
    <t>Collect Cases LTL CC DC IB</t>
  </si>
  <si>
    <t>collectCasesLtlCcDcIb</t>
  </si>
  <si>
    <t>160_IBTRANS</t>
  </si>
  <si>
    <t>Inbound Expense 3PTL CC IB</t>
  </si>
  <si>
    <t>inboundExpense3PtlCcIb</t>
  </si>
  <si>
    <t>costPerMile3PtlCcIb * miles3PtlCcIb</t>
  </si>
  <si>
    <t>191_IBTRANS</t>
  </si>
  <si>
    <t>Cost per Mile 3PTL CC IB</t>
  </si>
  <si>
    <t>costPerMile3PtlCcIb</t>
  </si>
  <si>
    <t>inboundExpense3PtlCcIb / miles3PtlCcIb</t>
  </si>
  <si>
    <t>272_IBTRANS</t>
  </si>
  <si>
    <t>Miles 3PTL CC IB</t>
  </si>
  <si>
    <t>miles3PtlCcIb</t>
  </si>
  <si>
    <t>lengthOfHaul3PtlCcIb * trailers3PtlCcIb</t>
  </si>
  <si>
    <t>162_IBTRANS</t>
  </si>
  <si>
    <t>Length of Haul 3PTL CC IB</t>
  </si>
  <si>
    <t>lengthOfHaul3PtlCcIb</t>
  </si>
  <si>
    <t>miles3PtlCcIb / trailers3PtlCcIb</t>
  </si>
  <si>
    <t>262_IBTRANS</t>
  </si>
  <si>
    <t>Trailers 3PTL CC IB</t>
  </si>
  <si>
    <t>trailers3PtlCcIb</t>
  </si>
  <si>
    <t>collectCases3PtlCcIb / casesPerTrailer3PtlCcIb</t>
  </si>
  <si>
    <t>163_IBTRANS</t>
  </si>
  <si>
    <t>Cases per Trailer 3PTL CC IB</t>
  </si>
  <si>
    <t>casesPerTrailer3PtlCcIb</t>
  </si>
  <si>
    <t>collectCases3PtlCcIb / trailers3PtlCcIb</t>
  </si>
  <si>
    <t>164_IBTRANS</t>
  </si>
  <si>
    <t>Collect Cases 3PTL CC IB</t>
  </si>
  <si>
    <t>collectCases3PtlCcIb</t>
  </si>
  <si>
    <t>165_IBTRANS</t>
  </si>
  <si>
    <t>Inbound Expense Fleet CC IB</t>
  </si>
  <si>
    <t>inboundExpenseFleetCcIb</t>
  </si>
  <si>
    <t>costPerMileFleetCcIb * milesFleetCcIb</t>
  </si>
  <si>
    <t>192_IBTRANS</t>
  </si>
  <si>
    <t>Cost per Mile Fleet CC IB</t>
  </si>
  <si>
    <t>costPerMileFleetCcIb</t>
  </si>
  <si>
    <t>inboundExpenseFleetCcIb / milesFleetCcIb</t>
  </si>
  <si>
    <t>267_IBTRANS</t>
  </si>
  <si>
    <t>Miles Fleet CC IB</t>
  </si>
  <si>
    <t>milesFleetCcIb</t>
  </si>
  <si>
    <t>lengthOfHaulFleetCcIb * trailersFleetCcIb</t>
  </si>
  <si>
    <t>167_IBTRANS</t>
  </si>
  <si>
    <t>Length of Haul Fleet CC IB</t>
  </si>
  <si>
    <t>lengthOfHaulFleetCcIb</t>
  </si>
  <si>
    <t>milesFleetCcIb / trailersFleetCcIb</t>
  </si>
  <si>
    <t>263_IBTRANS</t>
  </si>
  <si>
    <t>Trailers Fleet CC IB</t>
  </si>
  <si>
    <t>trailersFleetCcIb</t>
  </si>
  <si>
    <t>collectCasesFleetCcIb / casesPerTrailerFleetCcIb</t>
  </si>
  <si>
    <t>168_IBTRANS</t>
  </si>
  <si>
    <t>Cases per Trailer Fleet CC IB</t>
  </si>
  <si>
    <t>casesPerTrailerFleetCcIb</t>
  </si>
  <si>
    <t>collectCasesFleetCcIb / trailersFleetCcIb</t>
  </si>
  <si>
    <t>170_IBTRANS</t>
  </si>
  <si>
    <t>Collect Cases Fleet CC IB</t>
  </si>
  <si>
    <t>collectCasesFleetCcIb</t>
  </si>
  <si>
    <t>171_IBTRANS</t>
  </si>
  <si>
    <t>Inbound Expense IM CC IB</t>
  </si>
  <si>
    <t>inboundExpenseImCcIb</t>
  </si>
  <si>
    <t>costPerMileImCcIb * milesImCcIb</t>
  </si>
  <si>
    <t>193_IBTRANS</t>
  </si>
  <si>
    <t>Cost per Mile IM CC IB</t>
  </si>
  <si>
    <t>costPerMileImCcIb</t>
  </si>
  <si>
    <t>inboundExpenseImCcIb / milesImCcIb</t>
  </si>
  <si>
    <t>268_IBTRANS</t>
  </si>
  <si>
    <t>Miles IM CC IB</t>
  </si>
  <si>
    <t>milesImCcIb</t>
  </si>
  <si>
    <t>lengthOfHaulImCcIb * trailersImCcIb</t>
  </si>
  <si>
    <t>173_IBTRANS</t>
  </si>
  <si>
    <t>Length of Haul IM CC IB</t>
  </si>
  <si>
    <t>lengthOfHaulImCcIb</t>
  </si>
  <si>
    <t>milesImCcIb / trailersImCcIb</t>
  </si>
  <si>
    <t>264_IBTRANS</t>
  </si>
  <si>
    <t>Trailers IM CC IB</t>
  </si>
  <si>
    <t>trailersImCcIb</t>
  </si>
  <si>
    <t>collectCasesImCcIb / casesPerTrailerImCcIb</t>
  </si>
  <si>
    <t>174_IBTRANS</t>
  </si>
  <si>
    <t>Cases per Trailer IM CC IB</t>
  </si>
  <si>
    <t>casesPerTrailerImCcIb</t>
  </si>
  <si>
    <t>collectCasesImCcIb / trailersImCcIb</t>
  </si>
  <si>
    <t>175_IBTRANS</t>
  </si>
  <si>
    <t>Collect Cases IM CC IB</t>
  </si>
  <si>
    <t>collectCasesImCcIb</t>
  </si>
  <si>
    <t>176_IBTRANS</t>
  </si>
  <si>
    <t>Inbound Expense SP CC IB</t>
  </si>
  <si>
    <t>inboundExpenseSpCcIb</t>
  </si>
  <si>
    <t>costPerMileSpCcIb * milesSpCcIb</t>
  </si>
  <si>
    <t>194_IBTRANS</t>
  </si>
  <si>
    <t>Cost per Mile SP CC IB</t>
  </si>
  <si>
    <t>costPerMileSpCcIb</t>
  </si>
  <si>
    <t>inboundExpenseSpCcIb / milesSpCcIb</t>
  </si>
  <si>
    <t>269_IBTRANS</t>
  </si>
  <si>
    <t>Miles SP CC IB</t>
  </si>
  <si>
    <t>milesSpCcIb</t>
  </si>
  <si>
    <t>lengthOfHaulSpCcIb * trailersSpCcIb</t>
  </si>
  <si>
    <t>178_IBTRANS</t>
  </si>
  <si>
    <t>Length of Haul SP CC IB</t>
  </si>
  <si>
    <t>lengthOfHaulSpCcIb</t>
  </si>
  <si>
    <t>milesSpCcIb / trailersSpCcIb</t>
  </si>
  <si>
    <t>265_IBTRANS</t>
  </si>
  <si>
    <t>Trailers SP CC IB</t>
  </si>
  <si>
    <t>trailersSpCcIb</t>
  </si>
  <si>
    <t>collectCasesSpCcIb / casesPerTrailerSpCcIb</t>
  </si>
  <si>
    <t>179_IBTRANS</t>
  </si>
  <si>
    <t>Cases per Trailer SP CC IB</t>
  </si>
  <si>
    <t>casesPerTrailerSpCcIb</t>
  </si>
  <si>
    <t>collectCasesSpCcIb / trailersSpCcIb</t>
  </si>
  <si>
    <t>180_IBTRANS</t>
  </si>
  <si>
    <t>Collect Cases SP CC IB</t>
  </si>
  <si>
    <t>collectCasesSpCcIb</t>
  </si>
  <si>
    <t>181_IBTRANS</t>
  </si>
  <si>
    <t>Inbound Expense LTL CC IB</t>
  </si>
  <si>
    <t>inboundExpenseLtlCcIb</t>
  </si>
  <si>
    <t>costPerMileLtlCcIb * milesLtlCcIb</t>
  </si>
  <si>
    <t>195_IBTRANS</t>
  </si>
  <si>
    <t>Cost per Mile LTL CC IB</t>
  </si>
  <si>
    <t>costPerMileLtlCcIb</t>
  </si>
  <si>
    <t>inboundExpenseLtlCcIb / milesLtlCcIb</t>
  </si>
  <si>
    <t>270_IBTRANS</t>
  </si>
  <si>
    <t>Miles LTL CC IB</t>
  </si>
  <si>
    <t>milesLtlCcIb</t>
  </si>
  <si>
    <t>lengthOfHaulLtlCcIb * trailersLtlCcIb</t>
  </si>
  <si>
    <t>183_IBTRANS</t>
  </si>
  <si>
    <t>Length of Haul LTL CC IB</t>
  </si>
  <si>
    <t>lengthOfHaulLtlCcIb</t>
  </si>
  <si>
    <t>milesLtlCcIb / trailersLtlCcIb</t>
  </si>
  <si>
    <t>266_IBTRANS</t>
  </si>
  <si>
    <t>Trailers LTL CC IB</t>
  </si>
  <si>
    <t>trailersLtlCcIb</t>
  </si>
  <si>
    <t>collectCasesLtlCcIb / casesPerTrailerLtlCcIb</t>
  </si>
  <si>
    <t>184_IBTRANS</t>
  </si>
  <si>
    <t>Cases per Trailer LTL CC IB</t>
  </si>
  <si>
    <t>casesPerTrailerLtlCcIb</t>
  </si>
  <si>
    <t>collectCasesLtlCcIb / trailersLtlCcIb</t>
  </si>
  <si>
    <t>185_IBTRANS</t>
  </si>
  <si>
    <t>Collect Cases LTL CC IB</t>
  </si>
  <si>
    <t>collectCasesLtlCcIb</t>
  </si>
  <si>
    <t>225_IBTRANS</t>
  </si>
  <si>
    <t>CC Inbound Fuel Expense</t>
  </si>
  <si>
    <t>ccInboundFuelExpense</t>
  </si>
  <si>
    <t>inboundFuelExpense3PtlCcDcIb + inboundFuelExpenseFleetCcDcIb + inboundFuelExpenseImCcDcIb + inboundFuelExpenseSpCcDcIb + inboundFuelExpenseLtlCcDcIb + inboundFuelExpense3PtlCcIb + inboundFuelExpenseFleetCcIb + inboundFuelExpenseImCcIb + inboundFuelExpenseSpCcIb + inboundFuelExpenseLtlCcIb</t>
  </si>
  <si>
    <t>136_IBTRANS</t>
  </si>
  <si>
    <t>Inbound Fuel Expense 3PTL CC DC IB</t>
  </si>
  <si>
    <t>inboundFuelExpense3PtlCcDcIb</t>
  </si>
  <si>
    <t>ratePerMile3PtlCcDcIb * (lengthOfHaulSpCcDcIb * trailersSpCcDcIb)</t>
  </si>
  <si>
    <t>196_IBTRANS</t>
  </si>
  <si>
    <t>Rate per Mile 3PTL CC DC IB</t>
  </si>
  <si>
    <t>ratePerMile3PtlCcDcIb</t>
  </si>
  <si>
    <t>inboundFuelExpense3PtlCcDcIb / miles3PtlCcDcIb</t>
  </si>
  <si>
    <t>141_IBTRANS</t>
  </si>
  <si>
    <t>Inbound Fuel Expense Fleet CC DC IB</t>
  </si>
  <si>
    <t>inboundFuelExpenseFleetCcDcIb</t>
  </si>
  <si>
    <t>ratePerMileFleetCcDcIb * (lengthOfHaulFleetCcDcIb * trailersFleetCcDcIb)</t>
  </si>
  <si>
    <t>197_IBTRANS</t>
  </si>
  <si>
    <t>Rate per Mile Fleet CC DC IB</t>
  </si>
  <si>
    <t>ratePerMileFleetCcDcIb</t>
  </si>
  <si>
    <t>inboundFuelExpenseFleetCcDcIb / milesFleetCcDcIb</t>
  </si>
  <si>
    <t>146_IBTRANS</t>
  </si>
  <si>
    <t>Inbound Fuel Expense IM CC DC IB</t>
  </si>
  <si>
    <t>inboundFuelExpenseImCcDcIb</t>
  </si>
  <si>
    <t>ratePerMileImCcDcIb * (lengthOfHaulImCcDcIb * trailersImCcDcIb)</t>
  </si>
  <si>
    <t>198_IBTRANS</t>
  </si>
  <si>
    <t>Rate per Mile IM CC DC IB</t>
  </si>
  <si>
    <t>ratePerMileImCcDcIb</t>
  </si>
  <si>
    <t>inboundFuelExpenseImCcDcIb / milesImCcDcIb</t>
  </si>
  <si>
    <t>151_IBTRANS</t>
  </si>
  <si>
    <t>Inbound Fuel Expense SP CC DC IB</t>
  </si>
  <si>
    <t>inboundFuelExpenseSpCcDcIb</t>
  </si>
  <si>
    <t>ratePerMileSpCcDcIb * (lengthOfHaulSpCcDcIb * trailersSpCcDcIb)</t>
  </si>
  <si>
    <t>199_IBTRANS</t>
  </si>
  <si>
    <t>Rate per Mile SP CC DC IB</t>
  </si>
  <si>
    <t>ratePerMileSpCcDcIb</t>
  </si>
  <si>
    <t>inboundFuelExpenseSpCcDcIb / milesSpCcDcIb</t>
  </si>
  <si>
    <t>156_IBTRANS</t>
  </si>
  <si>
    <t>Inbound Fuel Expense LTL CC DC IB</t>
  </si>
  <si>
    <t>inboundFuelExpenseLtlCcDcIb</t>
  </si>
  <si>
    <t>ratePerMileLtlCcDcIb * (lengthOfHaulLtlCcDcIb * trailersLtlCcDcIb)</t>
  </si>
  <si>
    <t>200_IBTRANS</t>
  </si>
  <si>
    <t>Rate per Mile LTL CC DC IB</t>
  </si>
  <si>
    <t>ratePerMileLtlCcDcIb</t>
  </si>
  <si>
    <t>inboundFuelExpenseLtlCcDcIb / milesLtlCcDcIb</t>
  </si>
  <si>
    <t>161_IBTRANS</t>
  </si>
  <si>
    <t>Inbound Fuel Expense 3PTL CC IB</t>
  </si>
  <si>
    <t>inboundFuelExpense3PtlCcIb</t>
  </si>
  <si>
    <t>ratePerMile3PtlCcIb * (lengthOfHaul3PtlCcIb * trailers3PtlCcIb)</t>
  </si>
  <si>
    <t>201_IBTRANS</t>
  </si>
  <si>
    <t>Rate per Mile 3PTL CC IB</t>
  </si>
  <si>
    <t>ratePerMile3PtlCcIb</t>
  </si>
  <si>
    <t>inboundFuelExpense3PtlCcIb / miles3PtlCcIb</t>
  </si>
  <si>
    <t>166_IBTRANS</t>
  </si>
  <si>
    <t>Inbound Fuel Expense Fleet CC IB</t>
  </si>
  <si>
    <t>inboundFuelExpenseFleetCcIb</t>
  </si>
  <si>
    <t>ratePerMileFleetCcIb * (lengthOfHaulFleetCcIb * trailersFleetCcIb)</t>
  </si>
  <si>
    <t>202_IBTRANS</t>
  </si>
  <si>
    <t>Rate per Mile Fleet CC IB</t>
  </si>
  <si>
    <t>ratePerMileFleetCcIb</t>
  </si>
  <si>
    <t>inboundFuelExpenseFleetCcIb / milesFleetCcIb</t>
  </si>
  <si>
    <t>172_IBTRANS</t>
  </si>
  <si>
    <t>Inbound Fuel Expense IM CC IB</t>
  </si>
  <si>
    <t>inboundFuelExpenseImCcIb</t>
  </si>
  <si>
    <t>ratePerMileImCcIb * (lengthOfHaulImCcIb * trailersImCcIb)</t>
  </si>
  <si>
    <t>203_IBTRANS</t>
  </si>
  <si>
    <t>Rate per Mile IM CC IB</t>
  </si>
  <si>
    <t>ratePerMileImCcIb</t>
  </si>
  <si>
    <t>inboundFuelExpenseImCcIb / milesImCcIb</t>
  </si>
  <si>
    <t>177_IBTRANS</t>
  </si>
  <si>
    <t>Inbound Fuel Expense SP CC IB</t>
  </si>
  <si>
    <t>inboundFuelExpenseSpCcIb</t>
  </si>
  <si>
    <t>ratePerMileSpCcIb * (lengthOfHaulSpCcIb * trailersSpCcIb)</t>
  </si>
  <si>
    <t>204_IBTRANS</t>
  </si>
  <si>
    <t>Rate per Mile SP CC IB</t>
  </si>
  <si>
    <t>ratePerMileSpCcIb</t>
  </si>
  <si>
    <t>inboundFuelExpenseSpCcIb / milesSpCcIb</t>
  </si>
  <si>
    <t>182_IBTRANS</t>
  </si>
  <si>
    <t>Inbound Fuel Expense LTL CC IB</t>
  </si>
  <si>
    <t>inboundFuelExpenseLtlCcIb</t>
  </si>
  <si>
    <t>ratePerMileLtlCcIb * (lengthOfHaulLtlCcIb * trailersLtlCcIb)</t>
  </si>
  <si>
    <t>205_IBTRANS</t>
  </si>
  <si>
    <t>Rate per Mile LTL CC IB</t>
  </si>
  <si>
    <t>ratePerMileLtlCcIb</t>
  </si>
  <si>
    <t>inboundFuelExpenseLtlCcIb / milesLtlCcIb</t>
  </si>
  <si>
    <t>226_IBTRANS</t>
  </si>
  <si>
    <t>CC Noncontrollable Expenses IB</t>
  </si>
  <si>
    <t>ccNoncontrollableExpensesIb</t>
  </si>
  <si>
    <t>noncontrollableExpensesIbCc3Ptl + noncontrollableExpensesIbCcFleet + noncontrollableExpensesIbCcIm + noncontrollableExpensesIbCcSp + noncontrollableExpensesIbCcLtl</t>
  </si>
  <si>
    <t>227_IBTRANS</t>
  </si>
  <si>
    <t>Noncontrollable Expenses IB CC 3PTL</t>
  </si>
  <si>
    <t>noncontrollableExpensesIbCc3Ptl</t>
  </si>
  <si>
    <t>228_IBTRANS</t>
  </si>
  <si>
    <t>Noncontrollable Expenses IB CC Fleet</t>
  </si>
  <si>
    <t>noncontrollableExpensesIbCcFleet</t>
  </si>
  <si>
    <t>229_IBTRANS</t>
  </si>
  <si>
    <t>Noncontrollable Expenses IB CC IM</t>
  </si>
  <si>
    <t>noncontrollableExpensesIbCcIm</t>
  </si>
  <si>
    <t>230_IBTRANS</t>
  </si>
  <si>
    <t>Noncontrollable Expenses IB CC SP</t>
  </si>
  <si>
    <t>noncontrollableExpensesIbCcSp</t>
  </si>
  <si>
    <t>231_IBTRANS</t>
  </si>
  <si>
    <t>Noncontrollable Expenses IB CC LTL</t>
  </si>
  <si>
    <t>noncontrollableExpensesIbCcLtl</t>
  </si>
  <si>
    <t>151_OBTRANS</t>
  </si>
  <si>
    <t>Outbound Total</t>
  </si>
  <si>
    <t>outboundTotal</t>
  </si>
  <si>
    <t>outboundIncome - obOutboundExpense</t>
  </si>
  <si>
    <t>140_OBTRANS</t>
  </si>
  <si>
    <t>Outbound Income</t>
  </si>
  <si>
    <t>outboundIncome</t>
  </si>
  <si>
    <t>OB TRANSPORTATION</t>
  </si>
  <si>
    <t>141_OBTRANS</t>
  </si>
  <si>
    <t>OB Outbound Expense</t>
  </si>
  <si>
    <t>obOutboundExpense</t>
  </si>
  <si>
    <t>regionalTransportationExpense + groceryTransportationExpense + adminAndRocExpense</t>
  </si>
  <si>
    <t>142_OBTRANS</t>
  </si>
  <si>
    <t>Regional Transportation Expense</t>
  </si>
  <si>
    <t>regionalTransportationExpense</t>
  </si>
  <si>
    <t>regionalCostPerMile * regionalMiles</t>
  </si>
  <si>
    <t>152_OBTRANS</t>
  </si>
  <si>
    <t>Regional Cost per Mile</t>
  </si>
  <si>
    <t>regionalCostPerMile</t>
  </si>
  <si>
    <t>143_OBTRANS</t>
  </si>
  <si>
    <t>Regional Miles</t>
  </si>
  <si>
    <t>regionalMiles</t>
  </si>
  <si>
    <t>regionalLoh * regionalLoads</t>
  </si>
  <si>
    <t>153_OBTRANS</t>
  </si>
  <si>
    <t>Regional LOH</t>
  </si>
  <si>
    <t>regionalLoh</t>
  </si>
  <si>
    <t>154_OBTRANS</t>
  </si>
  <si>
    <t>Regional Loads</t>
  </si>
  <si>
    <t>regionalLoads</t>
  </si>
  <si>
    <t>regionalCasesTransported / regionalCasesPerTrailer</t>
  </si>
  <si>
    <t>144_OBTRANS</t>
  </si>
  <si>
    <t>Regional Cases Transported</t>
  </si>
  <si>
    <t>regionalCasesTransported</t>
  </si>
  <si>
    <t>145_OBTRANS</t>
  </si>
  <si>
    <t>Regional Cases per Trailer</t>
  </si>
  <si>
    <t>regionalCasesPerTrailer</t>
  </si>
  <si>
    <t>146_OBTRANS</t>
  </si>
  <si>
    <t>Grocery Transportation Expense</t>
  </si>
  <si>
    <t>groceryTransportationExpense</t>
  </si>
  <si>
    <t>groceryCostPerMile * groceryMiles</t>
  </si>
  <si>
    <t>155_OBTRANS</t>
  </si>
  <si>
    <t>Grocery Cost per Mile</t>
  </si>
  <si>
    <t>groceryCostPerMile</t>
  </si>
  <si>
    <t>147_OBTRANS</t>
  </si>
  <si>
    <t>Grocery Miles</t>
  </si>
  <si>
    <t>groceryMiles</t>
  </si>
  <si>
    <t>groceryLoh * groceryLoads</t>
  </si>
  <si>
    <t>156_OBTRANS</t>
  </si>
  <si>
    <t>Grocery LOH</t>
  </si>
  <si>
    <t>groceryLoh</t>
  </si>
  <si>
    <t>157_OBTRANS</t>
  </si>
  <si>
    <t>Grocery Loads</t>
  </si>
  <si>
    <t>groceryLoads</t>
  </si>
  <si>
    <t xml:space="preserve">groceryCasesTransported / groceryCasesPerTrailer </t>
  </si>
  <si>
    <t>148_OBTRANS</t>
  </si>
  <si>
    <t>Grocery Cases Transported</t>
  </si>
  <si>
    <t>groceryCasesTransported</t>
  </si>
  <si>
    <t>149_OBTRANS</t>
  </si>
  <si>
    <t>Grocery Cases per Trailer</t>
  </si>
  <si>
    <t>groceryCasesPerTrailer</t>
  </si>
  <si>
    <t>150_OBTRANS</t>
  </si>
  <si>
    <t>Admin and ROC Expense</t>
  </si>
  <si>
    <t>adminAndRocExpense</t>
  </si>
  <si>
    <t>1108_SERVINC</t>
  </si>
  <si>
    <t>Service income % of Gross GMV (for blended departments)</t>
  </si>
  <si>
    <t>serviceIncomePctofGrossGMVforblendeddepartments</t>
  </si>
  <si>
    <t>DSV_S2H, SELLER_FULFILLED, WALMART_FULFILLMENT_SERVICES, WMT_PHOTO,WMT_INSTACART</t>
  </si>
  <si>
    <t>2035_MERCHSALES</t>
  </si>
  <si>
    <t>nNet Sales</t>
  </si>
  <si>
    <t>nNetSales</t>
  </si>
  <si>
    <t>(nmerchandiseIncomemajor + shippingRevenue + discountstoSales)</t>
  </si>
  <si>
    <t>2036_MERCHSALES</t>
  </si>
  <si>
    <t>nMerchandise Income (major)</t>
  </si>
  <si>
    <t>nmerchandiseIncomemajor</t>
  </si>
  <si>
    <t>(ngrossGMVtotalexclmarketplace + nServices +commissionincome+ refunds + creditCardChargebacks)</t>
  </si>
  <si>
    <t>2037_MERCHSALES</t>
  </si>
  <si>
    <t>nGross GMV (total) excl Marketplace</t>
  </si>
  <si>
    <t>ngrossGMVtotalexclmarketplace</t>
  </si>
  <si>
    <t>INHOME_DELIVERY,SCHEDULED_DELIVERY,EVERGREEN_DELIVERY,EXPRESS_DELIVERY,EXPRESS_PICKUP,SCHEDULED_PICKUP,WMT_INSTACART, DSV_S2H, OWNED_S2H,SHIP_FROM_STORE,UNSCHEDULED_DELIVERY,DSV_S2S,OWNED_S2S,UNSCHEDULED_PICKUP,INSTORE_INCLUB, THIRD_PARTY_WEBSITE,CORE_SERVICES,SERVICES_PHYSICAL,SOFTWARE_SOLUTIONS,OTHER_LMD_3P_PLATFORM, WMT_PHOTO</t>
  </si>
  <si>
    <t>1222_MR</t>
  </si>
  <si>
    <t>Outsourcing Undefined</t>
  </si>
  <si>
    <t>outsourcingUndefined</t>
  </si>
  <si>
    <t>4011_LABOR</t>
  </si>
  <si>
    <t>Call Off (General Merch)</t>
  </si>
  <si>
    <t>callOffGeneralMerch</t>
  </si>
  <si>
    <t>callOffPctGeneralMerch * scheduledHoursGeneralMerch</t>
  </si>
  <si>
    <t>3043_LABOR</t>
  </si>
  <si>
    <t>Call Off % (General Merch)</t>
  </si>
  <si>
    <t>callOffPctGeneralMerch</t>
  </si>
  <si>
    <t>callOffGeneralMerch/scheduledHoursGeneralMerch</t>
  </si>
  <si>
    <t>3044_LABOR</t>
  </si>
  <si>
    <t>Scheduled Hours (General Merch)</t>
  </si>
  <si>
    <t>scheduledHoursGeneralMerch</t>
  </si>
  <si>
    <t>4010_LABOR</t>
  </si>
  <si>
    <t>Demand with Adj (General Merch)</t>
  </si>
  <si>
    <t>demandwithAdjGeneralMerch</t>
  </si>
  <si>
    <t>hoursScaling101NodeGeneralMerch * (demandHoursGeneralMerch + demandAdjGeneralMerch)</t>
  </si>
  <si>
    <t>3046_LABOR</t>
  </si>
  <si>
    <t>Demand Adj (General Merch)</t>
  </si>
  <si>
    <t>demandAdjGeneralMerch</t>
  </si>
  <si>
    <t>(scheduletoDemandPctGeneralMerch * demandHoursGeneralMerch)-demandHoursGeneralMerch</t>
  </si>
  <si>
    <t>3047_LABOR</t>
  </si>
  <si>
    <t>Schedule to Demand % (General Merch)</t>
  </si>
  <si>
    <t>scheduletoDemandPctGeneralMerch</t>
  </si>
  <si>
    <t>scheduledHoursGeneralMerch/demandHoursGeneralMerch</t>
  </si>
  <si>
    <t>3048_LABOR</t>
  </si>
  <si>
    <t>Demand Hours (General Merch)</t>
  </si>
  <si>
    <t>demandHoursGeneralMerch</t>
  </si>
  <si>
    <t>3049_LABOR</t>
  </si>
  <si>
    <t>Unit Driven Hours (General Merch)</t>
  </si>
  <si>
    <t>unitDrivenHoursGeneralMerch</t>
  </si>
  <si>
    <t>fixedHoursGeneralMerch + (unitsGeneralMerch / variableUPLHGeneralMerch)</t>
  </si>
  <si>
    <t>335_LABOR</t>
  </si>
  <si>
    <t>Fixed Hours (General Merch)</t>
  </si>
  <si>
    <t>fixedHoursGeneralMerch</t>
  </si>
  <si>
    <t>fixedHoursBaseGeneralMerch * hoursScaling101NodeGeneralMerch</t>
  </si>
  <si>
    <t>1835_LABOR</t>
  </si>
  <si>
    <t>Fixed Hours Base (General Merch)</t>
  </si>
  <si>
    <t>fixedHoursBaseGeneralMerch</t>
  </si>
  <si>
    <t>fixedHoursGeneralMerch/hoursScaling101NodeGeneralMerch</t>
  </si>
  <si>
    <t>390_LABOR</t>
  </si>
  <si>
    <t>Hours 1.01 Node (General Merch) SOT (month)</t>
  </si>
  <si>
    <t>hours101NodeGeneralMerchSOTmonth</t>
  </si>
  <si>
    <t>{"node_x":["hours101NodeGeneralMerchSOTgrain"]}</t>
  </si>
  <si>
    <t>hours101NodeGeneralMerchSOTgrain/hoursScaling101NodeGeneralMerch</t>
  </si>
  <si>
    <t>1879_LABOR</t>
  </si>
  <si>
    <t>Hours 1.01 Node (General Merch) SOT (grain)</t>
  </si>
  <si>
    <t>hours101NodeGeneralMerchSOTgrain</t>
  </si>
  <si>
    <t>SHIP_FROM_STORE, UNSCHEDULED_DELIVERY, UNSCHEDULED_PICKUP, INSTORE_INCLUB, NONE, EXPRESS_DELIVERY, EVERGREEN_DELIVERY, INHOME_DELIVERY, SCHEDULED_DELIVERY, EXPRESS_PICKUP, SCHEDULED_PICKUP, WMT_INSTACART</t>
  </si>
  <si>
    <t>18_SEASONAL,21_BOOKS AND MAGAZINES,5_MEDIA AND GAMING,58_WIRELESS SERVICE INCOME,6_CAMERAS &amp; SUPPLIES,67_CELEBRATION,7_TOYS,72_ELECTRONICS,77_LARGE HOUSEHOLD GOODS,85_ONE HOUR PHOTO,87_WIRELESS,10_AUTOMOTIVE,11_HARDWARE,12_PAINT &amp; ACCESSORIES,16_LAWN AND GARDEN,3_STATIONERY,37_AUTO SERVICE,56_HORTICULTURE,9_SPORTING GOODS,14_COOK AND DINE,17_HOME DECOR,19,20_BATH AND SHOWER,22_BEDDING,71_FURNITURE,74_HOME MANAGEMENT</t>
  </si>
  <si>
    <t>_101HourlyWagesNonOvertimeSOT</t>
  </si>
  <si>
    <t>336_LABOR</t>
  </si>
  <si>
    <t>Units (General Merch)</t>
  </si>
  <si>
    <t>unitsGeneralMerch</t>
  </si>
  <si>
    <t>unitsReportingGrain</t>
  </si>
  <si>
    <t>345_LABOR</t>
  </si>
  <si>
    <t>Variable UPLH (General Merch)</t>
  </si>
  <si>
    <t>variableUPLHGeneralMerch</t>
  </si>
  <si>
    <t>346_LABOR</t>
  </si>
  <si>
    <t>Overtime (General Merch)</t>
  </si>
  <si>
    <t>overtimeGeneralMerch</t>
  </si>
  <si>
    <t>oTHoursGeneralMerch * oTWageRateGeneralMerch</t>
  </si>
  <si>
    <t>3050_LABOR</t>
  </si>
  <si>
    <t>OT Hours (General Merch)</t>
  </si>
  <si>
    <t>oTHoursGeneralMerch</t>
  </si>
  <si>
    <t>oTAllocationPctofHoursGeneralMerch * laborHoursGeneralMerch</t>
  </si>
  <si>
    <t>1267_LABOR</t>
  </si>
  <si>
    <t>OT Allocation % of Hours (General Merch)</t>
  </si>
  <si>
    <t>oTAllocationPctofHoursGeneralMerch</t>
  </si>
  <si>
    <t>oTHoursGeneralMerch/laborHoursGeneralMerch</t>
  </si>
  <si>
    <t>412_LABOR</t>
  </si>
  <si>
    <t>OT Wage Rate (General Merch)</t>
  </si>
  <si>
    <t>oTWageRateGeneralMerch</t>
  </si>
  <si>
    <t>overtimeGeneralMerch/oTHoursGeneralMerch</t>
  </si>
  <si>
    <t>347_LABOR</t>
  </si>
  <si>
    <t>Stocking Wages</t>
  </si>
  <si>
    <t>stockingWages</t>
  </si>
  <si>
    <t>wagesinclOTStocking - (overtimeWageExclusionAssumption * overtimeStocking)</t>
  </si>
  <si>
    <t>348_LABOR</t>
  </si>
  <si>
    <t>Wages incl. OT (Stocking)</t>
  </si>
  <si>
    <t>wagesinclOTStocking</t>
  </si>
  <si>
    <t>wageRateStocking * laborHoursStocking</t>
  </si>
  <si>
    <t>349_LABOR</t>
  </si>
  <si>
    <t>Wage Rate (Stocking)</t>
  </si>
  <si>
    <t>wageRateStocking</t>
  </si>
  <si>
    <t>baseWageRateStocking * (1+wageMeritInflation)</t>
  </si>
  <si>
    <t>wagesinclOTStocking/laborHoursStocking</t>
  </si>
  <si>
    <t>1288_LABOR</t>
  </si>
  <si>
    <t>Base Wage Rate (Stocking)</t>
  </si>
  <si>
    <t>baseWageRateStocking</t>
  </si>
  <si>
    <t>wageRateStocking/(1+wageMeritInflation)</t>
  </si>
  <si>
    <t>350_LABOR</t>
  </si>
  <si>
    <t>Labor Hours (Stocking)</t>
  </si>
  <si>
    <t>laborHoursStocking</t>
  </si>
  <si>
    <t>{"node_p1" : "scheduledwithCallOffStocking", "node_p2" : "demandwithAdjStocking", "node_p3" : "unitDrivenHoursStocking"}</t>
  </si>
  <si>
    <t>func11</t>
  </si>
  <si>
    <t>3051_LABOR</t>
  </si>
  <si>
    <t>Scheduled with Call Off (Stocking)</t>
  </si>
  <si>
    <t>scheduledwithCallOffStocking</t>
  </si>
  <si>
    <t>hoursScaling101NodeStocking * (scheduledHoursStocking - callOffStocking)</t>
  </si>
  <si>
    <t>3052_LABOR</t>
  </si>
  <si>
    <t>Call Off (Stocking)</t>
  </si>
  <si>
    <t>callOffStocking</t>
  </si>
  <si>
    <t>callOffPctStocking * scheduledHoursStocking</t>
  </si>
  <si>
    <t>3053_LABOR</t>
  </si>
  <si>
    <t>Call Off % (Stocking)</t>
  </si>
  <si>
    <t>callOffPctStocking</t>
  </si>
  <si>
    <t>callOffStocking/scheduledHoursStocking</t>
  </si>
  <si>
    <t>3054_LABOR</t>
  </si>
  <si>
    <t>Scheduled Hours (Stocking)</t>
  </si>
  <si>
    <t>scheduledHoursStocking</t>
  </si>
  <si>
    <t>3055_LABOR</t>
  </si>
  <si>
    <t>Demand with Adj (Stocking)</t>
  </si>
  <si>
    <t>demandwithAdjStocking</t>
  </si>
  <si>
    <t>hoursScaling101NodeStocking * (demandHoursStocking + demandAdjStocking)</t>
  </si>
  <si>
    <t>3056_LABOR</t>
  </si>
  <si>
    <t>Demand Adj (Stocking)</t>
  </si>
  <si>
    <t>demandAdjStocking</t>
  </si>
  <si>
    <t>(scheduletoDemandPctStocking * demandHoursStocking)-demandHoursStocking</t>
  </si>
  <si>
    <t>3057_LABOR</t>
  </si>
  <si>
    <t>Schedule to Demand % (Stocking)</t>
  </si>
  <si>
    <t>scheduletoDemandPctStocking</t>
  </si>
  <si>
    <t>scheduledHoursStocking/demandHoursStocking</t>
  </si>
  <si>
    <t>3058_LABOR</t>
  </si>
  <si>
    <t>Demand Hours (Stocking)</t>
  </si>
  <si>
    <t>demandHoursStocking</t>
  </si>
  <si>
    <t>3059_LABOR</t>
  </si>
  <si>
    <t>Unit Driven Hours (Stocking)</t>
  </si>
  <si>
    <t>unitDrivenHoursStocking</t>
  </si>
  <si>
    <t>(fixedHoursBaseStocking + (scNbrofCasesMonth /variableUPLHStocking)) * hoursScaling101NodeStocking</t>
  </si>
  <si>
    <t>1837_LABOR</t>
  </si>
  <si>
    <t>Fixed Hours Base (Stocking)</t>
  </si>
  <si>
    <t>fixedHoursBaseStocking</t>
  </si>
  <si>
    <t>fixedHoursBaseStocking/hoursScaling101NodeStocking</t>
  </si>
  <si>
    <t>1842_LABOR</t>
  </si>
  <si>
    <t>Hours Scaling 1.01 Node (Stocking)</t>
  </si>
  <si>
    <t>hoursScaling101NodeStocking</t>
  </si>
  <si>
    <t>hours101NodeStockingSOTgrain/hours101NodeStockingSOTmonth</t>
  </si>
  <si>
    <t>3181_LABOR</t>
  </si>
  <si>
    <t>Hours 1.01 Node (Stocking) SOT (month)</t>
  </si>
  <si>
    <t>hours101NodeStockingSOTmonth</t>
  </si>
  <si>
    <t>{"node_x":["hours101NodeStockingSOTgrain"]}</t>
  </si>
  <si>
    <t>3190_LABOR</t>
  </si>
  <si>
    <t>Hours 1.01 Node (Stocking) SOT (grain)</t>
  </si>
  <si>
    <t>hours101NodeStockingSOTgrain</t>
  </si>
  <si>
    <t>WMT_US_Supply_Chain_Total_SGA</t>
  </si>
  <si>
    <t>3196_LABOR</t>
  </si>
  <si>
    <t># of Cases (month)</t>
  </si>
  <si>
    <t>scNbrofCasesMonth</t>
  </si>
  <si>
    <t>{"node_x":["scnbrofcases"]}</t>
  </si>
  <si>
    <t>355_LABOR</t>
  </si>
  <si>
    <t>Variable UPLH (Stocking)</t>
  </si>
  <si>
    <t>variableUPLHStocking</t>
  </si>
  <si>
    <t>356_LABOR</t>
  </si>
  <si>
    <t>Overtime (Stocking)</t>
  </si>
  <si>
    <t>overtimeStocking</t>
  </si>
  <si>
    <t>oTHoursStocking * oTWageRateStocking</t>
  </si>
  <si>
    <t>3060_LABOR</t>
  </si>
  <si>
    <t>OT Hours (Stocking)</t>
  </si>
  <si>
    <t>oTHoursStocking</t>
  </si>
  <si>
    <t>oTAllocationPctofHoursStocking * laborHoursStocking</t>
  </si>
  <si>
    <t>1268_LABOR</t>
  </si>
  <si>
    <t>OT Allocation % of Hours (Stocking)</t>
  </si>
  <si>
    <t>oTAllocationPctofHoursStocking</t>
  </si>
  <si>
    <t>oTHoursStocking/laborHoursStocking</t>
  </si>
  <si>
    <t>413_LABOR</t>
  </si>
  <si>
    <t>OT Wage Rate (Stocking)</t>
  </si>
  <si>
    <t>oTWageRateStocking</t>
  </si>
  <si>
    <t>overtimeStocking/oTHoursStocking</t>
  </si>
  <si>
    <t>357_LABOR</t>
  </si>
  <si>
    <t>Other Wages</t>
  </si>
  <si>
    <t>otherWages</t>
  </si>
  <si>
    <t>wagesinclOTOther - (overtimeWageExclusionAssumption * overtimeOther)</t>
  </si>
  <si>
    <t>358_LABOR</t>
  </si>
  <si>
    <t>Wages incl. OT (Other)</t>
  </si>
  <si>
    <t>wagesinclOTOther</t>
  </si>
  <si>
    <t>wageRateOther * laborHoursOther</t>
  </si>
  <si>
    <t>359_LABOR</t>
  </si>
  <si>
    <t>Wage Rate (Other)</t>
  </si>
  <si>
    <t>wageRateOther</t>
  </si>
  <si>
    <t>(1+wageMeritInflation) * baseWageRateOther</t>
  </si>
  <si>
    <t>wagesinclOTOther/laborHoursOther</t>
  </si>
  <si>
    <t>1289_LABOR</t>
  </si>
  <si>
    <t>Base Wage Rate (Other)</t>
  </si>
  <si>
    <t>baseWageRateOther</t>
  </si>
  <si>
    <t>wageRateOther/(1+wageMeritInflation)</t>
  </si>
  <si>
    <t>360_LABOR</t>
  </si>
  <si>
    <t>Labor Hours (Other)</t>
  </si>
  <si>
    <t>laborHoursOther</t>
  </si>
  <si>
    <t>{"node_p1" : "scheduledwithCallOffOther", "node_p2" : "demandwithAdjOther", "node_p3" : "unitDrivenHoursOther"}</t>
  </si>
  <si>
    <t>3061_LABOR</t>
  </si>
  <si>
    <t>Scheduled with Call Off (Other)</t>
  </si>
  <si>
    <t>scheduledwithCallOffOther</t>
  </si>
  <si>
    <t>hoursScaling101NodeOther * (scheduledHoursOther-callOffOther)</t>
  </si>
  <si>
    <t>1836_LABOR</t>
  </si>
  <si>
    <t>Hours Scaling 1.01 Node (Other)</t>
  </si>
  <si>
    <t>hoursScaling101NodeOther</t>
  </si>
  <si>
    <t>3062_LABOR</t>
  </si>
  <si>
    <t>Call Off (Other)</t>
  </si>
  <si>
    <t>callOffOther</t>
  </si>
  <si>
    <t>callOffPctOther * scheduledHoursOther</t>
  </si>
  <si>
    <t>hours101NodeOtherSOTgrain/hours101NodeOtherSOTmonth</t>
  </si>
  <si>
    <t>3063_LABOR</t>
  </si>
  <si>
    <t>Call Off % (Other)</t>
  </si>
  <si>
    <t>callOffPctOther</t>
  </si>
  <si>
    <t>callOffOther/scheduledHoursOther</t>
  </si>
  <si>
    <t>3064_LABOR</t>
  </si>
  <si>
    <t>Scheduled Hours (Other)</t>
  </si>
  <si>
    <t>scheduledHoursOther</t>
  </si>
  <si>
    <t>3065_LABOR</t>
  </si>
  <si>
    <t>Demand with Adj (Other)</t>
  </si>
  <si>
    <t>demandwithAdjOther</t>
  </si>
  <si>
    <t>hoursScaling101NodeOther * (demandHoursOther + demandAdjOther)</t>
  </si>
  <si>
    <t>3066_LABOR</t>
  </si>
  <si>
    <t>Demand Adj (Other)</t>
  </si>
  <si>
    <t>demandAdjOther</t>
  </si>
  <si>
    <t>(scheduletoDemandPctOther * demandHoursOther)-demandHoursOther</t>
  </si>
  <si>
    <t>3067_LABOR</t>
  </si>
  <si>
    <t>Schedule to Demand % (Other)</t>
  </si>
  <si>
    <t>scheduletoDemandPctOther</t>
  </si>
  <si>
    <t>scheduledHoursOther/demandHoursOther</t>
  </si>
  <si>
    <t>3068_LABOR</t>
  </si>
  <si>
    <t>Demand Hours (Other)</t>
  </si>
  <si>
    <t>demandHoursOther</t>
  </si>
  <si>
    <t>3069_LABOR</t>
  </si>
  <si>
    <t>Unit Driven Hours (Other)</t>
  </si>
  <si>
    <t>unitDrivenHoursOther</t>
  </si>
  <si>
    <t>fixedHoursOther + (unitsOther / variableUPLHOther)</t>
  </si>
  <si>
    <t>361_LABOR</t>
  </si>
  <si>
    <t>Fixed Hours (Other)</t>
  </si>
  <si>
    <t>fixedHoursOther</t>
  </si>
  <si>
    <t>fixedHoursBaseOther * (hoursScaling101NodeOther)</t>
  </si>
  <si>
    <t>1839_LABOR</t>
  </si>
  <si>
    <t>Fixed Hours Base (Other)</t>
  </si>
  <si>
    <t>fixedHoursBaseOther</t>
  </si>
  <si>
    <t>fixedHoursOther/hoursScaling101NodeOther</t>
  </si>
  <si>
    <t>3175_LABOR</t>
  </si>
  <si>
    <t>Hours 1.01 Node (Other) SOT (month)</t>
  </si>
  <si>
    <t>hours101NodeOtherSOTmonth</t>
  </si>
  <si>
    <t>{"node_x":["hours101NodeOtherSOTgrain"]}</t>
  </si>
  <si>
    <t>3195_LABOR</t>
  </si>
  <si>
    <t>Hours 1.01 Node (Other) SOT (grain)</t>
  </si>
  <si>
    <t>hours101NodeOtherSOTgrain</t>
  </si>
  <si>
    <t>23_MENS APPAREL,24_BOYS APPAREL,25_SHOES,26_BABY AND TODDLER APPAREL,27_FAMILY SOCKS,28_HOSIERY,29_INTIMATE APPAREL,30_FOUNDATIONS,31_ACCESSORIES,32_JEWELRY,33_GIRLS APPAREL,34_WOMENS APPAREL,35_PLUS SIZES/MATERNITY,36_WOMENS OUTERWEAR,13_CLEANING,2_PERSONAL CARE,4_HOUSEHOLD PAPER,40_OTC PHARMACY,46_BEAUTY,79_INFANT CONSUMABLE HARDLINES,8_PETS &amp; SUPPLIES,18_SEASONAL,21_BOOKS AND MAGAZINES,5_MEDIA AND GAMING,58_WIRELESS SERVICE INCOME,6_CAMERAS &amp; SUPPLIES,67_CELEBRATION,7_TOYS,72_ELECTRONICS,77_LARGE HOUSEHOLD GOODS,85_ONE HOUR PHOTO,87_WIRELESS,1_CANDY,80_SERVICE DELI,81_COM BREAD,82_IMPULSE MERCHANDISE,83_SEAFOOD,84_BALLOONS &amp; FLOWERS,90_DAIRY,91_FROZEN,92_GROCERY,93_MEAT,94_PRODUCE,95_DSD GROCERY,96_LIQUOR,97_WALL DELI,98_BAKERY,10_AUTOMOTIVE,11_HARDWARE,12_PAINT &amp; ACCESSORIES,16_LAWN AND GARDEN,3_STATIONERY,37_AUTO SERVICE,56_HORTICULTURE,9_SPORTING GOODS,14_COOK AND DINE,17_HOME DECOR,19,20_BATH AND SHOWER,22_BEDDING,71_FURNITURE,74_HOME MANAGEMENT,-999_UNKNOWN,39_CONSUMER SERVICES,60_STAMPS,61_SAMS,62_SAMS,63_SAMS,64_SAMS,66_WALMART-ENERGY,68_SAMS,69_WAL-MART ONLINE,70_STORE USE ONLY,76_ACADEMY,86_WALMART SERVICES,88_PMDCSIGNINIG,89_TRAVEL,99_OFFICE &amp; STORE</t>
  </si>
  <si>
    <t>1844_LABOR</t>
  </si>
  <si>
    <t>Units (Other)</t>
  </si>
  <si>
    <t>unitsOther</t>
  </si>
  <si>
    <t>363_LABOR</t>
  </si>
  <si>
    <t>Variable UPLH (Other)</t>
  </si>
  <si>
    <t>variableUPLHOther</t>
  </si>
  <si>
    <t>364_LABOR</t>
  </si>
  <si>
    <t>Overtime (Other)</t>
  </si>
  <si>
    <t>overtimeOther</t>
  </si>
  <si>
    <t>oTHoursOther * oTWageRateOther</t>
  </si>
  <si>
    <t>3070_LABOR</t>
  </si>
  <si>
    <t>OT Hours (Other)</t>
  </si>
  <si>
    <t>oTHoursOther</t>
  </si>
  <si>
    <t>oTAllocationPctofHoursOther * laborHoursOther</t>
  </si>
  <si>
    <t>1269_LABOR</t>
  </si>
  <si>
    <t>OT Allocation % of Hours (Other)</t>
  </si>
  <si>
    <t>oTAllocationPctofHoursOther</t>
  </si>
  <si>
    <t>oTHoursOther/laborHoursOther</t>
  </si>
  <si>
    <t>414_LABOR</t>
  </si>
  <si>
    <t>OT Wage Rate (Other)</t>
  </si>
  <si>
    <t>oTWageRateOther</t>
  </si>
  <si>
    <t>overtimeOther/oTHoursOther</t>
  </si>
  <si>
    <t>365_LABOR</t>
  </si>
  <si>
    <t>Digital Wages</t>
  </si>
  <si>
    <t>digitalWages</t>
  </si>
  <si>
    <t>wagesinclOTDigital - (overtimeWageExclusionAssumption * overtimeDigital)</t>
  </si>
  <si>
    <t>366_LABOR</t>
  </si>
  <si>
    <t>Wages incl. OT (Digital)</t>
  </si>
  <si>
    <t>wagesinclOTDigital</t>
  </si>
  <si>
    <t>wageRateDigital * laborHoursDigital</t>
  </si>
  <si>
    <t>367_LABOR</t>
  </si>
  <si>
    <t>Wage Rate (Digital)</t>
  </si>
  <si>
    <t>wageRateDigital</t>
  </si>
  <si>
    <t>(1+wageMeritInflation) * baseWageRateDigital</t>
  </si>
  <si>
    <t>wagesinclOTDigital/laborHoursDigital</t>
  </si>
  <si>
    <t>1290_LABOR</t>
  </si>
  <si>
    <t>Base Wage Rate (Digital)</t>
  </si>
  <si>
    <t>baseWageRateDigital</t>
  </si>
  <si>
    <t>wageRateDigital/(1+wageMeritInflation)</t>
  </si>
  <si>
    <t>368_LABOR</t>
  </si>
  <si>
    <t>Labor Hours (Digital)</t>
  </si>
  <si>
    <t>laborHoursDigital</t>
  </si>
  <si>
    <t>{"node_p1" : "scheduledwithCallOffDigital", "node_p2" : "demandwithAdjDigital", "node_p3" : "unitDrivenHoursDigital"}</t>
  </si>
  <si>
    <t>3071_LABOR</t>
  </si>
  <si>
    <t>Scheduled with Call Off (Digital)</t>
  </si>
  <si>
    <t>scheduledwithCallOffDigital</t>
  </si>
  <si>
    <t>hoursScaling101NodeDigital * (scheduledHoursDigital-callOffDigital+creepDigital)</t>
  </si>
  <si>
    <t>1840_LABOR</t>
  </si>
  <si>
    <t>Hours Scaling 1.01 Node (Digital)</t>
  </si>
  <si>
    <t>hoursScaling101NodeDigital</t>
  </si>
  <si>
    <t>hours101NodeDigitalSOTgrain/hours101NodeDigitalSOTmonth</t>
  </si>
  <si>
    <t>3072_LABOR</t>
  </si>
  <si>
    <t>Call Off (Digital)</t>
  </si>
  <si>
    <t>callOffDigital</t>
  </si>
  <si>
    <t>callOffPctDigital * scheduledHoursDigital</t>
  </si>
  <si>
    <t>3073_LABOR</t>
  </si>
  <si>
    <t>Call Off % (Digital)</t>
  </si>
  <si>
    <t>callOffPctDigital</t>
  </si>
  <si>
    <t>callOffDigital/scheduledHoursDigital</t>
  </si>
  <si>
    <t>3074_LABOR</t>
  </si>
  <si>
    <t>Scheduled Hours (Digital)</t>
  </si>
  <si>
    <t>scheduledHoursDigital</t>
  </si>
  <si>
    <t>3075_LABOR</t>
  </si>
  <si>
    <t>Demand with Adj (Digital)</t>
  </si>
  <si>
    <t>demandwithAdjDigital</t>
  </si>
  <si>
    <t>hoursScaling101NodeDigital * (demandHoursDigital + demandAdjDigital)</t>
  </si>
  <si>
    <t>3076_LABOR</t>
  </si>
  <si>
    <t>Demand Adj (Digital)</t>
  </si>
  <si>
    <t>demandAdjDigital</t>
  </si>
  <si>
    <t>(scheduletoDemandPctDigital * demandHoursDigital)-demandHoursDigital</t>
  </si>
  <si>
    <t>3078_LABOR</t>
  </si>
  <si>
    <t>Schedule to Demand % (Digital)</t>
  </si>
  <si>
    <t>scheduletoDemandPctDigital</t>
  </si>
  <si>
    <t>scheduledHoursDigital/demandHoursDigital</t>
  </si>
  <si>
    <t>3079_LABOR</t>
  </si>
  <si>
    <t>Demand Hours (Digital)</t>
  </si>
  <si>
    <t>demandHoursDigital</t>
  </si>
  <si>
    <t>3080_LABOR</t>
  </si>
  <si>
    <t>Unit Driven Hours (Digital)</t>
  </si>
  <si>
    <t>unitDrivenHoursDigital</t>
  </si>
  <si>
    <t>fixedHoursDigital + (unitsDigital/ variableUPLHDigital)</t>
  </si>
  <si>
    <t>369_LABOR</t>
  </si>
  <si>
    <t>Fixed Hours (Digital)</t>
  </si>
  <si>
    <t>fixedHoursDigital</t>
  </si>
  <si>
    <t>fixedHoursBaseDigital * hoursScaling101NodeDigital</t>
  </si>
  <si>
    <t>1841_LABOR</t>
  </si>
  <si>
    <t>Fixed Hours Base (Digital)</t>
  </si>
  <si>
    <t>fixedHoursBaseDigital</t>
  </si>
  <si>
    <t>fixedHoursDigital/hoursScaling101NodeDigital</t>
  </si>
  <si>
    <t>3172_LABOR</t>
  </si>
  <si>
    <t>Hours 1.01 Node (Digital) SOT (month)</t>
  </si>
  <si>
    <t>hours101NodeDigitalSOTmonth</t>
  </si>
  <si>
    <t>{"node_x":["hours101NodeDigitalSOTgrain"]}</t>
  </si>
  <si>
    <t>3171_LABOR</t>
  </si>
  <si>
    <t>Hours 1.01 Node (Digital) SOT (grain)</t>
  </si>
  <si>
    <t>hours101NodeDigitalSOTgrain</t>
  </si>
  <si>
    <t>SHIP_FROM_STORE, UNSCHEDULED_DELIVERY, UNSCHEDULED_PICKUP, EXPRESS_DELIVERY, EVERGREEN_DELIVERY, INHOME_DELIVERY, SCHEDULED_DELIVERY, EXPRESS_PICKUP, SCHEDULED_PICKUP, WMT_INSTACART</t>
  </si>
  <si>
    <t>1848_LABOR</t>
  </si>
  <si>
    <t>Units (Digital)</t>
  </si>
  <si>
    <t>unitsDigital</t>
  </si>
  <si>
    <t>1849_LABOR</t>
  </si>
  <si>
    <t>Variable UPLH (Digital)</t>
  </si>
  <si>
    <t>variableUPLHDigital</t>
  </si>
  <si>
    <t>371_LABOR</t>
  </si>
  <si>
    <t>Overtime (Digital)</t>
  </si>
  <si>
    <t>overtimeDigital</t>
  </si>
  <si>
    <t>oTHoursDigital * oTWageRateDigital</t>
  </si>
  <si>
    <t>3081_LABOR</t>
  </si>
  <si>
    <t>OT Hours (Digital)</t>
  </si>
  <si>
    <t>oTHoursDigital</t>
  </si>
  <si>
    <t>oTAllocationPctofHoursDigital * laborHoursDigital</t>
  </si>
  <si>
    <t>1270_LABOR</t>
  </si>
  <si>
    <t>OT Allocation % of Hours (Digital)</t>
  </si>
  <si>
    <t>oTAllocationPctofHoursDigital</t>
  </si>
  <si>
    <t>oTHoursDigital/laborHoursDigital</t>
  </si>
  <si>
    <t>415_LABOR</t>
  </si>
  <si>
    <t>OT Wage Rate (Digital)</t>
  </si>
  <si>
    <t>oTWageRateDigital</t>
  </si>
  <si>
    <t>overtimeDigital/oTHoursDigital</t>
  </si>
  <si>
    <t>3082_LABOR</t>
  </si>
  <si>
    <t>H&amp;W Wages</t>
  </si>
  <si>
    <t>handWWages</t>
  </si>
  <si>
    <t>pharmacyStoreWages + opticalStoreWages</t>
  </si>
  <si>
    <t>1911_LABOR</t>
  </si>
  <si>
    <t>Pharmacy Store Wages</t>
  </si>
  <si>
    <t>pharmacyStoreWages</t>
  </si>
  <si>
    <t>pharmacyScripts *wageDollarsperScript* pharmacyScalingNode</t>
  </si>
  <si>
    <t>1809_LABOR</t>
  </si>
  <si>
    <t>Pharmacy Scripts</t>
  </si>
  <si>
    <t>pharmacyScripts</t>
  </si>
  <si>
    <t>{"node_x":["retailSpecialtyRxCount", "managedSpecialtyRxCount", "brandRxBASECountnoSpecIMZ", "genericRxCount", "iMZRxCount"]}</t>
  </si>
  <si>
    <t>2049_LABOR</t>
  </si>
  <si>
    <t>Wage Dollars per Script</t>
  </si>
  <si>
    <t>wageDollarsperScript</t>
  </si>
  <si>
    <t>1991_LABOR</t>
  </si>
  <si>
    <t>Pharmacy Scaling 1.01 Node</t>
  </si>
  <si>
    <t>pharmacyScalingNode</t>
  </si>
  <si>
    <t>pharmacy101NodeStoreLaborSOTgrain/pharmacy101NodeStoreLaborSOTmonth</t>
  </si>
  <si>
    <t>1992_LABOR</t>
  </si>
  <si>
    <t>Pharmacy 1.01 Node Store Labor SOT (month)</t>
  </si>
  <si>
    <t>pharmacy101NodeStoreLaborSOTmonth</t>
  </si>
  <si>
    <t>{"node_x":["pharmacy101NodeStoreLaborSOTgrain"]}</t>
  </si>
  <si>
    <t>2101_LABOR</t>
  </si>
  <si>
    <t>Pharmacy 1.01 Node Store Labor SOT (grain)</t>
  </si>
  <si>
    <t>pharmacy101NodeStoreLaborSOTgrain</t>
  </si>
  <si>
    <t>649_LABOR</t>
  </si>
  <si>
    <t>Optical Store Wages</t>
  </si>
  <si>
    <t>opticalStoreWages</t>
  </si>
  <si>
    <t>3025_LABOR</t>
  </si>
  <si>
    <t>Fuel Wages</t>
  </si>
  <si>
    <t>fuelWages</t>
  </si>
  <si>
    <t>fuelWagesScaling101Node * fuelWagesmonth</t>
  </si>
  <si>
    <t>1972_LABOR</t>
  </si>
  <si>
    <t>Fuel Wages Scaling 1.01 Node</t>
  </si>
  <si>
    <t>fuelWagesScaling101Node</t>
  </si>
  <si>
    <t>fuelWages101NodeSOTgrain/fuelWages101NodeSOTmonth</t>
  </si>
  <si>
    <t>1973_LABOR</t>
  </si>
  <si>
    <t>Fuel Wages 1.01 Node SOT (month)</t>
  </si>
  <si>
    <t>fuelWages101NodeSOTmonth</t>
  </si>
  <si>
    <t>{"node_x":["fuelWages101NodeSOTgrain"]}</t>
  </si>
  <si>
    <t>2102_LABOR</t>
  </si>
  <si>
    <t>Fuel Wages 1.01 Node SOT (grain)</t>
  </si>
  <si>
    <t>fuelWages101NodeSOTgrain</t>
  </si>
  <si>
    <t>960_LABOR</t>
  </si>
  <si>
    <t>Fuel Wages (month)</t>
  </si>
  <si>
    <t>fuelWagesmonth</t>
  </si>
  <si>
    <t>wagesinclOTFuel - (overtimeWageExclusionAssumption * overtimeFuelmonth)</t>
  </si>
  <si>
    <t>3024_LABOR</t>
  </si>
  <si>
    <t>Wages incl. OT (Fuel)</t>
  </si>
  <si>
    <t>wagesinclOTFuel</t>
  </si>
  <si>
    <t>wageRateFuel * laborHoursFuel</t>
  </si>
  <si>
    <t>961_LABOR</t>
  </si>
  <si>
    <t>Wage Rate (Fuel)</t>
  </si>
  <si>
    <t>wageRateFuel</t>
  </si>
  <si>
    <t>meritInflationFuel * baseWageRateFuel</t>
  </si>
  <si>
    <t>1256_LABOR</t>
  </si>
  <si>
    <t>Merit/Inflation (Fuel)</t>
  </si>
  <si>
    <t>meritInflationFuel</t>
  </si>
  <si>
    <t>wageRateFuel/baseWageRateFuel</t>
  </si>
  <si>
    <t>1347_LABOR</t>
  </si>
  <si>
    <t>Base Wage Rate (Fuel)</t>
  </si>
  <si>
    <t>baseWageRateFuel</t>
  </si>
  <si>
    <t>wageRateFuel/meritInflationFuel</t>
  </si>
  <si>
    <t>962_LABOR</t>
  </si>
  <si>
    <t>Labor Hours (Fuel)</t>
  </si>
  <si>
    <t>laborHoursFuel</t>
  </si>
  <si>
    <t>avgLaborHoursperGasStation *  numberofGasStations</t>
  </si>
  <si>
    <t>964_LABOR</t>
  </si>
  <si>
    <t>Avg Labor Hours per Gas Station</t>
  </si>
  <si>
    <t>avgLaborHoursperGasStation</t>
  </si>
  <si>
    <t>laborHoursFuel/numberofGasStations</t>
  </si>
  <si>
    <t>1444_LABOR</t>
  </si>
  <si>
    <t>Number of Gas Stations</t>
  </si>
  <si>
    <t>numberofGasStations</t>
  </si>
  <si>
    <t>laborHoursFuel/avgLaborHoursperGasStation</t>
  </si>
  <si>
    <t>984_LABOR</t>
  </si>
  <si>
    <t>Overtime (Fuel month)</t>
  </si>
  <si>
    <t>overtimeFuelmonth</t>
  </si>
  <si>
    <t>oTHoursFuel * oTWageRateFuel</t>
  </si>
  <si>
    <t>3026_LABOR</t>
  </si>
  <si>
    <t>OT Hours (Fuel)</t>
  </si>
  <si>
    <t>oTHoursFuel</t>
  </si>
  <si>
    <t>oTAllocationPctofHoursFuel * laborHoursFuel</t>
  </si>
  <si>
    <t>966_LABOR</t>
  </si>
  <si>
    <t>OT Allocation % of Hours (Fuel)</t>
  </si>
  <si>
    <t>oTAllocationPctofHoursFuel</t>
  </si>
  <si>
    <t>oTHoursFuel/laborHoursFuel</t>
  </si>
  <si>
    <t>968_LABOR</t>
  </si>
  <si>
    <t>OT Wage Rate (Fuel)</t>
  </si>
  <si>
    <t>oTWageRateFuel</t>
  </si>
  <si>
    <t>overtimeFuelmonth/oTHoursFuel</t>
  </si>
  <si>
    <t>3027_LABOR</t>
  </si>
  <si>
    <t>Supply Chain Wages (SGA Networks)</t>
  </si>
  <si>
    <t>supplyChainWagesSGANetworks</t>
  </si>
  <si>
    <t>(coreWages + e2EWages) * (supplyChain101ScalingNode)</t>
  </si>
  <si>
    <t>3120_LABOR</t>
  </si>
  <si>
    <t>Supply Chain 1.01 Scaling Node</t>
  </si>
  <si>
    <t>supplyChain101ScalingNode</t>
  </si>
  <si>
    <t>WMT_US_Supply_Chain_Total_GP,WMT_US_Supply_Chain_Total_SGA</t>
  </si>
  <si>
    <t>supplyChain101NodeSOTgrain/supplyChain101NodeSOTmonthlocation</t>
  </si>
  <si>
    <t>3121_LABOR</t>
  </si>
  <si>
    <t>Supply Chain 1.01 Node SOT (month,location)</t>
  </si>
  <si>
    <t>supplyChain101NodeSOTmonthlocation</t>
  </si>
  <si>
    <t>{"node_x":["supplyChain101NodeSOTgrain"]}</t>
  </si>
  <si>
    <t>supplyChain101NodeSOTgrain/supplyChain101ScalingNode</t>
  </si>
  <si>
    <t>3122_LABOR</t>
  </si>
  <si>
    <t>Supply Chain 1.01 Node SOT (grain)</t>
  </si>
  <si>
    <t>supplyChain101NodeSOTgrain</t>
  </si>
  <si>
    <t>supplyChain101ScalingNode * supplyChain101NodeSOTmonthlocation</t>
  </si>
  <si>
    <t>3028_LABOR</t>
  </si>
  <si>
    <t>Core Wages</t>
  </si>
  <si>
    <t>coreWages</t>
  </si>
  <si>
    <t>{"node_x":["scwageLaborexclOT"]}</t>
  </si>
  <si>
    <t>3029_LABOR</t>
  </si>
  <si>
    <t>E2E Wages</t>
  </si>
  <si>
    <t>e2EWages</t>
  </si>
  <si>
    <t>{"node_x":["e2EWagesmonthlocation"]}</t>
  </si>
  <si>
    <t>4000_LABOR</t>
  </si>
  <si>
    <t>E2E Wages (month, location)</t>
  </si>
  <si>
    <t>e2EWagesmonthlocation</t>
  </si>
  <si>
    <t>schourlyWagesNonOvertime</t>
  </si>
  <si>
    <t>1856_LABOR</t>
  </si>
  <si>
    <t>Home Office Overhead Wages</t>
  </si>
  <si>
    <t>homeOfficeOverheadWages</t>
  </si>
  <si>
    <t>wageexpensePctofsalariesHomeOfficeOverheads * homeOfficeOverheadSalaries</t>
  </si>
  <si>
    <t>1857_LABOR</t>
  </si>
  <si>
    <t>Wage expense % of salaries (Home Office Overheads)</t>
  </si>
  <si>
    <t>wageexpensePctofsalariesHomeOfficeOverheads</t>
  </si>
  <si>
    <t>303_SGAA</t>
  </si>
  <si>
    <t>Other Wages (non-driver based)</t>
  </si>
  <si>
    <t>otherWagesnondriverbased</t>
  </si>
  <si>
    <t>500102_UFM</t>
  </si>
  <si>
    <t>[1.02] Overtime Wages</t>
  </si>
  <si>
    <t>_102OvertimeWages</t>
  </si>
  <si>
    <t xml:space="preserve">storeWorkgroupOvertime + handWOvertime + fuelOvertime + supplyChainOvertimeSGANetworks + homeOfficeOverheadOvertime + otherOvertimenondriverbased </t>
  </si>
  <si>
    <t>3083_LABOR</t>
  </si>
  <si>
    <t>Store Workgroup Overtime</t>
  </si>
  <si>
    <t>storeWorkgroupOvertime</t>
  </si>
  <si>
    <t>overtimeFrontEnd + overtimeFoodandConsumables + overtimeGeneralMerch + overtimeStocking + overtimeOther + overtimeDigital</t>
  </si>
  <si>
    <t>3084_LABOR</t>
  </si>
  <si>
    <t>H&amp;W Overtime</t>
  </si>
  <si>
    <t>handWOvertime</t>
  </si>
  <si>
    <t>pharmacyStoreOvertime + opticalOvertime</t>
  </si>
  <si>
    <t>515_LABOR</t>
  </si>
  <si>
    <t>Pharmacy Store Overtime</t>
  </si>
  <si>
    <t>pharmacyStoreOvertime</t>
  </si>
  <si>
    <t>oTAllocationPctofWagesPharmacy * pharmacyStoreWages</t>
  </si>
  <si>
    <t>516_LABOR</t>
  </si>
  <si>
    <t>OT Allocation % of Wages (Pharmacy)</t>
  </si>
  <si>
    <t>oTAllocationPctofWagesPharmacy</t>
  </si>
  <si>
    <t>pharmacyStoreOvertime/pharmacyStoreWages</t>
  </si>
  <si>
    <t>655_LABOR</t>
  </si>
  <si>
    <t>Optical Overtime</t>
  </si>
  <si>
    <t>opticalOvertime</t>
  </si>
  <si>
    <t>3098_LABOR</t>
  </si>
  <si>
    <t>Fuel Overtime</t>
  </si>
  <si>
    <t>fuelOvertime</t>
  </si>
  <si>
    <t>fuelOvertime102ScalingNodeFuel * overtimeFuelmonth</t>
  </si>
  <si>
    <t>1980_LABOR</t>
  </si>
  <si>
    <t>Fuel Overtime 1.02 Scaling Node (Fuel)</t>
  </si>
  <si>
    <t>fuelOvertime102ScalingNodeFuel</t>
  </si>
  <si>
    <t>fuelOvertime102NodeSOTgrain/fuelOvertime102NodeSOTmonth</t>
  </si>
  <si>
    <t>1974_LABOR</t>
  </si>
  <si>
    <t>Fuel Overtime 1.02 Node SOT (month)</t>
  </si>
  <si>
    <t>fuelOvertime102NodeSOTmonth</t>
  </si>
  <si>
    <t>{"node_x":["fuelOvertime102NodeSOTgrain"]}</t>
  </si>
  <si>
    <t>2105_LABOR</t>
  </si>
  <si>
    <t>Fuel Overtime 1.02 Node SOT (grain)</t>
  </si>
  <si>
    <t>fuelOvertime102NodeSOTgrain</t>
  </si>
  <si>
    <t>4_SGAA</t>
  </si>
  <si>
    <t>[01.02] Overtime Wages SOT</t>
  </si>
  <si>
    <t>_102OvertimeWagesSOT</t>
  </si>
  <si>
    <t>3085_LABOR</t>
  </si>
  <si>
    <t>Supply Chain Overtime (SGA Networks)</t>
  </si>
  <si>
    <t>supplyChainOvertimeSGANetworks</t>
  </si>
  <si>
    <t>supplyChain102ScalingNode * (coreOvertime + e2EOvertime)</t>
  </si>
  <si>
    <t>3123_LABOR</t>
  </si>
  <si>
    <t>Supply Chain 1.02 Scaling Node</t>
  </si>
  <si>
    <t>supplyChain102ScalingNode</t>
  </si>
  <si>
    <t>supplyChain102NodeSOTgrain/supplyChain102NodeSOTmonthlocation</t>
  </si>
  <si>
    <t>3124_LABOR</t>
  </si>
  <si>
    <t>Supply Chain 1.02 Node SOT (month,location)</t>
  </si>
  <si>
    <t>supplyChain102NodeSOTmonthlocation</t>
  </si>
  <si>
    <t>{"node_x":["supplyChain102NodeSOTgrain"]}</t>
  </si>
  <si>
    <t>3125_LABOR</t>
  </si>
  <si>
    <t>Supply Chain 1.02 Node SOT (grain)</t>
  </si>
  <si>
    <t>supplyChain102NodeSOTgrain</t>
  </si>
  <si>
    <t>3086_LABOR</t>
  </si>
  <si>
    <t>Core Overtime</t>
  </si>
  <si>
    <t>coreOvertime</t>
  </si>
  <si>
    <t>{"node_x":["scwageLaborOT"]}</t>
  </si>
  <si>
    <t>3087_LABOR</t>
  </si>
  <si>
    <t>E2E Overtime</t>
  </si>
  <si>
    <t>e2EOvertime</t>
  </si>
  <si>
    <t>{"node_x":["e2EOvertimemonthlocation"]}</t>
  </si>
  <si>
    <t>4002_LABOR</t>
  </si>
  <si>
    <t>E2E Overtime (month, location)</t>
  </si>
  <si>
    <t>e2EOvertimemonthlocation</t>
  </si>
  <si>
    <t>scovertimeWages</t>
  </si>
  <si>
    <t>1858_LABOR</t>
  </si>
  <si>
    <t>Home Office Overhead Overtime</t>
  </si>
  <si>
    <t>homeOfficeOverheadOvertime</t>
  </si>
  <si>
    <t>overtimeexpensePctofsalariesHomeOfficeOverheads * homeOfficeOverheadSalaries</t>
  </si>
  <si>
    <t>1859_LABOR</t>
  </si>
  <si>
    <t>Overtime expense % of salaries (Home Office Overheads)</t>
  </si>
  <si>
    <t>overtimeexpensePctofsalariesHomeOfficeOverheads</t>
  </si>
  <si>
    <t>404_SGAA</t>
  </si>
  <si>
    <t>Other Overtime (non-driver based)</t>
  </si>
  <si>
    <t>otherOvertimenondriverbased</t>
  </si>
  <si>
    <t>500103_UFM</t>
  </si>
  <si>
    <t>[1.03] Salaries</t>
  </si>
  <si>
    <t>_103Salaries</t>
  </si>
  <si>
    <t>storeSalaries + handWSalaries + fuelSalaries + supplyChainSalariesSGANetworks + homeOfficeOverheadSalaries +  otherSalariesnondriverbased</t>
  </si>
  <si>
    <t>1903_LABOR</t>
  </si>
  <si>
    <t>Store Salaries</t>
  </si>
  <si>
    <t>storeSalaries</t>
  </si>
  <si>
    <t xml:space="preserve">managerSalaries + assistantManagerSalaries + additionalManagerSalaries + academyManagerSalaries </t>
  </si>
  <si>
    <t>430_LABOR</t>
  </si>
  <si>
    <t>Manager Salaries</t>
  </si>
  <si>
    <t>managerSalaries</t>
  </si>
  <si>
    <t>storeSalary103ScalingNode * managerSalariesmonth</t>
  </si>
  <si>
    <t>1850_LABOR</t>
  </si>
  <si>
    <t>Store Salary 1.03 Scaling Node</t>
  </si>
  <si>
    <t>storeSalary103ScalingNode</t>
  </si>
  <si>
    <t>salariedLabor103NodeSOTgrain/salariedLabor103NodeSOTmonth</t>
  </si>
  <si>
    <t>1868_LABOR</t>
  </si>
  <si>
    <t>Salaried Labor 1.03 Node SOT (month)</t>
  </si>
  <si>
    <t>salariedLabor103NodeSOTmonth</t>
  </si>
  <si>
    <t>{"node_x":["salariedLabor103NodeSOTgrain"]}</t>
  </si>
  <si>
    <t>1971_LABOR</t>
  </si>
  <si>
    <t>Salaried Labor 1.03 Node SOT (grain)</t>
  </si>
  <si>
    <t>salariedLabor103NodeSOTgrain</t>
  </si>
  <si>
    <t>_103SalariesSOT</t>
  </si>
  <si>
    <t>1851_LABOR</t>
  </si>
  <si>
    <t>Manager Salaries (month)</t>
  </si>
  <si>
    <t>managerSalariesmonth</t>
  </si>
  <si>
    <t>numberofStores * avgheadcountperstoremanager * salaryperheadcountmanager * (1-vacancyratemanager)</t>
  </si>
  <si>
    <t>433_LABOR</t>
  </si>
  <si>
    <t>Number of Stores</t>
  </si>
  <si>
    <t>numberofStores</t>
  </si>
  <si>
    <t>managerSalariesmonth/(avgheadcountperstoremanager * salaryperheadcountmanager * (1-vacancyratemanager))</t>
  </si>
  <si>
    <t>431_LABOR</t>
  </si>
  <si>
    <t>Avg headcount per store (manager)</t>
  </si>
  <si>
    <t>avgheadcountperstoremanager</t>
  </si>
  <si>
    <t>managerSalariesmonth/(numberofStores*salaryperheadcountmanager * (1-vacancyratemanager))</t>
  </si>
  <si>
    <t>432_LABOR</t>
  </si>
  <si>
    <t>Salary per headcount (manager)</t>
  </si>
  <si>
    <t>salaryperheadcountmanager</t>
  </si>
  <si>
    <t>(1+salaryMeritInflation) * basesalaryperheadcountmanager</t>
  </si>
  <si>
    <t>1281_LABOR</t>
  </si>
  <si>
    <t>Salary Merit/Inflation</t>
  </si>
  <si>
    <t>salaryMeritInflation</t>
  </si>
  <si>
    <t>1-(salaryperheadcountmanager/basesalaryperheadcountmanager)</t>
  </si>
  <si>
    <t>1295_LABOR</t>
  </si>
  <si>
    <t>Base salary per headcount (manager)</t>
  </si>
  <si>
    <t>basesalaryperheadcountmanager</t>
  </si>
  <si>
    <t>salaryperheadcountmanager/(1+salaryMeritInflation)</t>
  </si>
  <si>
    <t>434_LABOR</t>
  </si>
  <si>
    <t>Vacancy rate (manager)</t>
  </si>
  <si>
    <t>vacancyratemanager</t>
  </si>
  <si>
    <t>managerSalariesmonth/ (numberofStores * avgheadcountperstoremanager * salaryperheadcountmanager)</t>
  </si>
  <si>
    <t>435_LABOR</t>
  </si>
  <si>
    <t>Assistant Manager Salaries</t>
  </si>
  <si>
    <t>assistantManagerSalaries</t>
  </si>
  <si>
    <t>storeSalary103ScalingNode * assistantManagerSalariesmonth</t>
  </si>
  <si>
    <t>1852_LABOR</t>
  </si>
  <si>
    <t>Assistant Manager Salaries (month)</t>
  </si>
  <si>
    <t>assistantManagerSalariesmonth</t>
  </si>
  <si>
    <t>numberofStores * avgheadcountperstoreassistantmanager * salaryperheadcountassistantmanager * (1-vacancyrateassistantmanager)</t>
  </si>
  <si>
    <t>1275_LABOR</t>
  </si>
  <si>
    <t>Avg headcount per store (assistant manager)</t>
  </si>
  <si>
    <t>avgheadcountperstoreassistantmanager</t>
  </si>
  <si>
    <t>assistantManagerSalariesmonth/ (numberofStores * salaryperheadcountassistantmanager * (1-vacancyrateassistantmanager))</t>
  </si>
  <si>
    <t>437_LABOR</t>
  </si>
  <si>
    <t>Salary per headcount (assistant manager)</t>
  </si>
  <si>
    <t>salaryperheadcountassistantmanager</t>
  </si>
  <si>
    <t>(1+salaryMeritInflation) * basesalaryperheadcountassistantmanager</t>
  </si>
  <si>
    <t>1296_LABOR</t>
  </si>
  <si>
    <t>Base salary per headcount (assistant manager)</t>
  </si>
  <si>
    <t>basesalaryperheadcountassistantmanager</t>
  </si>
  <si>
    <t>salaryperheadcountassistantmanager/(1+salaryMeritInflation)</t>
  </si>
  <si>
    <t>1276_LABOR</t>
  </si>
  <si>
    <t>Vacancy rate (assistant manager)</t>
  </si>
  <si>
    <t>vacancyrateassistantmanager</t>
  </si>
  <si>
    <t>assistantManagerSalariesmonth/ (numberofStores * avgheadcountperstoreassistantmanager * salaryperheadcountassistantmanager)</t>
  </si>
  <si>
    <t>439_LABOR</t>
  </si>
  <si>
    <t>Additional Manager Salaries</t>
  </si>
  <si>
    <t>additionalManagerSalaries</t>
  </si>
  <si>
    <t>storeSalary103ScalingNode * additionalManagerSalariesmonth</t>
  </si>
  <si>
    <t>1853_LABOR</t>
  </si>
  <si>
    <t>Additional Manager Salaries (month)</t>
  </si>
  <si>
    <t>additionalManagerSalariesmonth</t>
  </si>
  <si>
    <t>numberofStores * avgheadcountperstoreadditionalmanager * salaryperheadcountadditionalmanager * (1-vacancyrateadditionalmanager)</t>
  </si>
  <si>
    <t>438_LABOR</t>
  </si>
  <si>
    <t>Avg headcount per store (additional manager)</t>
  </si>
  <si>
    <t>avgheadcountperstoreadditionalmanager</t>
  </si>
  <si>
    <t>additionalManagerSalariesmonth/ (numberofStores * salaryperheadcountadditionalmanager * (1-vacancyrateadditionalmanager))</t>
  </si>
  <si>
    <t>440_LABOR</t>
  </si>
  <si>
    <t>Salary per headcount (additional manager)</t>
  </si>
  <si>
    <t>salaryperheadcountadditionalmanager</t>
  </si>
  <si>
    <t>(1+salaryMeritInflation) * basesalaryperheadcountadditionalmanager</t>
  </si>
  <si>
    <t>1297_LABOR</t>
  </si>
  <si>
    <t>Base salary per headcount (additional manager)</t>
  </si>
  <si>
    <t>basesalaryperheadcountadditionalmanager</t>
  </si>
  <si>
    <t>salaryperheadcountadditionalmanager/(1+ salaryMeritInflation)</t>
  </si>
  <si>
    <t>1277_LABOR</t>
  </si>
  <si>
    <t>Vacancy rate (additional manager)</t>
  </si>
  <si>
    <t>vacancyrateadditionalmanager</t>
  </si>
  <si>
    <t>additionalManagerSalariesmonth/(numberofStores * avgheadcountperstoreadditionalmanager * salaryperheadcountadditionalmanager)</t>
  </si>
  <si>
    <t>441_LABOR</t>
  </si>
  <si>
    <t>Academy Manager Salaries</t>
  </si>
  <si>
    <t>academyManagerSalaries</t>
  </si>
  <si>
    <t>storeSalary103ScalingNode * academyManagerSalariesmonth</t>
  </si>
  <si>
    <t>1854_LABOR</t>
  </si>
  <si>
    <t>Academy Manager Salaries (month)</t>
  </si>
  <si>
    <t>academyManagerSalariesmonth</t>
  </si>
  <si>
    <t>numberofAcademyManagers * salaryperheadcountacademymanager * (1-vacancyrateacademymanager)</t>
  </si>
  <si>
    <t>442_LABOR</t>
  </si>
  <si>
    <t>Number of Academy Managers</t>
  </si>
  <si>
    <t>numberofAcademyManagers</t>
  </si>
  <si>
    <t>academyManagerSalariesmonth / (salaryperheadcountacademymanager * (1-vacancyrateacademymanager))</t>
  </si>
  <si>
    <t>443_LABOR</t>
  </si>
  <si>
    <t>Salary per headcount (academy manager)</t>
  </si>
  <si>
    <t>salaryperheadcountacademymanager</t>
  </si>
  <si>
    <t>(1+salaryMeritInflation) * basesalaryperheadcountacademymanager</t>
  </si>
  <si>
    <t>1298_LABOR</t>
  </si>
  <si>
    <t>Base salary per headcount (academy manager)</t>
  </si>
  <si>
    <t>basesalaryperheadcountacademymanager</t>
  </si>
  <si>
    <t>salaryperheadcountacademymanager/(1+salaryMeritInflation)</t>
  </si>
  <si>
    <t>444_LABOR</t>
  </si>
  <si>
    <t>Vacancy rate (academy manager)</t>
  </si>
  <si>
    <t>vacancyrateacademymanager</t>
  </si>
  <si>
    <t>academyManagerSalariesmonth / (numberofAcademyManagers * salaryperheadcountacademymanager)</t>
  </si>
  <si>
    <t>3089_LABOR</t>
  </si>
  <si>
    <t>H&amp;W Salaries</t>
  </si>
  <si>
    <t>handWSalaries</t>
  </si>
  <si>
    <t>pharmacySalaries + opticalSalaries</t>
  </si>
  <si>
    <t>526_LABOR</t>
  </si>
  <si>
    <t>Pharmacy Salaries</t>
  </si>
  <si>
    <t>pharmacySalaries</t>
  </si>
  <si>
    <t>salariesperscripts * pharmacyScripts  * pharmacyScalingNode</t>
  </si>
  <si>
    <t>2048_LABOR</t>
  </si>
  <si>
    <t>Salaries per scripts</t>
  </si>
  <si>
    <t>salariesperscripts</t>
  </si>
  <si>
    <t>pharmacySalaries/  (pharmacyScripts  * pharmacyScalingNode)</t>
  </si>
  <si>
    <t>666_LABOR</t>
  </si>
  <si>
    <t>Optical Salaries</t>
  </si>
  <si>
    <t>opticalSalaries</t>
  </si>
  <si>
    <t>3094_LABOR</t>
  </si>
  <si>
    <t>Fuel Salaries</t>
  </si>
  <si>
    <t>fuelSalaries</t>
  </si>
  <si>
    <t>fuel103ScalingNode * fuelSalariesmonth</t>
  </si>
  <si>
    <t>1985_LABOR</t>
  </si>
  <si>
    <t>Fuel 1.03 Scaling Node</t>
  </si>
  <si>
    <t>fuel103ScalingNode</t>
  </si>
  <si>
    <t>fuelWages103NodeSOTgrain/fuelWages103NodeSOTmonth</t>
  </si>
  <si>
    <t>1975_LABOR</t>
  </si>
  <si>
    <t>Fuel Wages 1.03 Node SOT (month)</t>
  </si>
  <si>
    <t>fuelWages103NodeSOTmonth</t>
  </si>
  <si>
    <t>{"node_x":["fuelWages103NodeSOTgrain"]}</t>
  </si>
  <si>
    <t>2106_LABOR</t>
  </si>
  <si>
    <t>Fuel Wages 1.03 Node SOT (grain)</t>
  </si>
  <si>
    <t>fuelWages103NodeSOTgrain</t>
  </si>
  <si>
    <t>975_LABOR</t>
  </si>
  <si>
    <t>Fuel Salaries (month)</t>
  </si>
  <si>
    <t>fuelSalariesmonth</t>
  </si>
  <si>
    <t>3090_LABOR</t>
  </si>
  <si>
    <t>Supply Chain Salaries (SGA Networks)</t>
  </si>
  <si>
    <t>supplyChainSalariesSGANetworks</t>
  </si>
  <si>
    <t>supplyChain103ScalingNode * (coreSalaries + e2ESalaries)</t>
  </si>
  <si>
    <t>3126_LABOR</t>
  </si>
  <si>
    <t>Supply Chain 1.03 Scaling Node</t>
  </si>
  <si>
    <t>supplyChain103ScalingNode</t>
  </si>
  <si>
    <t>supplyChain103NodeSOTgrain/supplyChain103NodeSOTmonthlocation</t>
  </si>
  <si>
    <t>3127_LABOR</t>
  </si>
  <si>
    <t>Supply Chain 1.03 Node SOT (month,location)</t>
  </si>
  <si>
    <t>supplyChain103NodeSOTmonthlocation</t>
  </si>
  <si>
    <t>{"node_x":["supplyChain103NodeSOTgrain"]}</t>
  </si>
  <si>
    <t>3128_LABOR</t>
  </si>
  <si>
    <t>Supply Chain 1.03  NodeSOT (grain)</t>
  </si>
  <si>
    <t>supplyChain103NodeSOTgrain</t>
  </si>
  <si>
    <t>5_SGAA</t>
  </si>
  <si>
    <t>[01.03] Salaries SOT</t>
  </si>
  <si>
    <t>3091_LABOR</t>
  </si>
  <si>
    <t>Core Salaries</t>
  </si>
  <si>
    <t>coreSalaries</t>
  </si>
  <si>
    <t>{"node_x":["scsalariedLabor"]}</t>
  </si>
  <si>
    <t>3092_LABOR</t>
  </si>
  <si>
    <t>E2E Salaries</t>
  </si>
  <si>
    <t>e2ESalaries</t>
  </si>
  <si>
    <t>{"node_x":["e2ESalariesmonthlocation"]}</t>
  </si>
  <si>
    <t>4004_LABOR</t>
  </si>
  <si>
    <t>E2E Salaries (month, location)</t>
  </si>
  <si>
    <t>e2ESalariesmonthlocation</t>
  </si>
  <si>
    <t>scsalaries</t>
  </si>
  <si>
    <t>958_LABOR</t>
  </si>
  <si>
    <t>Home Office Overhead Salaries</t>
  </si>
  <si>
    <t>homeOfficeOverheadSalaries</t>
  </si>
  <si>
    <t>scalingNode103HOSalaries * (homeOfficeOverheadSalariesmonth + homeOfficeSupportSalariesHOOH)</t>
  </si>
  <si>
    <t>2014_LABOR</t>
  </si>
  <si>
    <t>Scaling Node 1.03 (HO Salaries)</t>
  </si>
  <si>
    <t>scalingNode103HOSalaries</t>
  </si>
  <si>
    <t>2015_LABOR</t>
  </si>
  <si>
    <t>HO Salaries Overhead 1.03 Node SOT (month)</t>
  </si>
  <si>
    <t>hOSalariesOverhead103NodeSOTmonth</t>
  </si>
  <si>
    <t>{"node_x":["hOSalariesOverhead103NodeSOTgrain"]}</t>
  </si>
  <si>
    <t>2103_LABOR</t>
  </si>
  <si>
    <t>HO Salaries Overhead 1.03 Node SOT (grain)</t>
  </si>
  <si>
    <t>hOSalariesOverhead103NodeSOTgrain</t>
  </si>
  <si>
    <t>2001_LABOR</t>
  </si>
  <si>
    <t>Home Office Overhead Salaries (month)</t>
  </si>
  <si>
    <t>homeOfficeOverheadSalariesmonth</t>
  </si>
  <si>
    <t>operationsManagementSalariesHOOH + supplyChainManagementSalariesHOOH</t>
  </si>
  <si>
    <t>987_LABOR</t>
  </si>
  <si>
    <t>Operations Management Salaries (HO OH)</t>
  </si>
  <si>
    <t>operationsManagementSalariesHOOH</t>
  </si>
  <si>
    <t>baseOperationsManagementSalariesHOOH * meritPctIncreaseHOOH</t>
  </si>
  <si>
    <t>1258_LABOR</t>
  </si>
  <si>
    <t>Base Operations Management Salaries (HO OH)</t>
  </si>
  <si>
    <t>baseOperationsManagementSalariesHOOH</t>
  </si>
  <si>
    <t>eOYHeadcount * avgsalaryperheadcount * vacancyRatePct</t>
  </si>
  <si>
    <t>1259_LABOR</t>
  </si>
  <si>
    <t>EOY Headcount</t>
  </si>
  <si>
    <t>eOYHeadcount</t>
  </si>
  <si>
    <t>baseOperationsManagementSalariesHOOH/ (avgsalaryperheadcount * vacancyRatePct)</t>
  </si>
  <si>
    <t>1260_LABOR</t>
  </si>
  <si>
    <t>Avg salary per headcount</t>
  </si>
  <si>
    <t>avgsalaryperheadcount</t>
  </si>
  <si>
    <t>baseOperationsManagementSalariesHOOH/ (eOYHeadcount *vacancyRatePct)</t>
  </si>
  <si>
    <t>1261_LABOR</t>
  </si>
  <si>
    <t>Vacancy Rate %</t>
  </si>
  <si>
    <t>vacancyRatePct</t>
  </si>
  <si>
    <t>baseOperationsManagementSalariesHOOH/ (eOYHeadcount * avgsalaryperheadcount)</t>
  </si>
  <si>
    <t>1535_LABOR</t>
  </si>
  <si>
    <t>Merit % Increase (HO OH)</t>
  </si>
  <si>
    <t>meritPctIncreaseHOOH</t>
  </si>
  <si>
    <t>operationsManagementSalariesHOOH/baseOperationsManagementSalariesHOOH</t>
  </si>
  <si>
    <t>939_LABOR</t>
  </si>
  <si>
    <t>Supply Chain Management Salaries (HO OH)</t>
  </si>
  <si>
    <t>supplyChainManagementSalariesHOOH</t>
  </si>
  <si>
    <t>e2EDeliverySalariesHOOH + coreSalariesHOOH + iandASalariesHOOH</t>
  </si>
  <si>
    <t>1445_LABOR</t>
  </si>
  <si>
    <t>E2E Delivery Salaries (HO OH)</t>
  </si>
  <si>
    <t>e2EDeliverySalariesHOOH</t>
  </si>
  <si>
    <t>e2EDeliverySalariesBaseHOOH * meritInflationSCMGMTHOOH</t>
  </si>
  <si>
    <t>1446_LABOR</t>
  </si>
  <si>
    <t>E2E Delivery Salaries Base (HO OH)</t>
  </si>
  <si>
    <t>e2EDeliverySalariesBaseHOOH</t>
  </si>
  <si>
    <t>headcountE2EDeliveryHOOH * salaryperHeadcountE2EDeliveryHOOH * vacancyRateE2EDeliveryHOOH</t>
  </si>
  <si>
    <t>1447_LABOR</t>
  </si>
  <si>
    <t>Headcount (E2E Delivery HO OH)</t>
  </si>
  <si>
    <t>headcountE2EDeliveryHOOH</t>
  </si>
  <si>
    <t>e2EDeliverySalariesBaseHOOH/ (salaryperHeadcountE2EDeliveryHOOH * vacancyRateE2EDeliveryHOOH)</t>
  </si>
  <si>
    <t>1448_LABOR</t>
  </si>
  <si>
    <t>Salary per Headcount (E2E Delivery HO OH)</t>
  </si>
  <si>
    <t>salaryperHeadcountE2EDeliveryHOOH</t>
  </si>
  <si>
    <t>e2EDeliverySalariesBaseHOOH/ (headcountE2EDeliveryHOOH*vacancyRateE2EDeliveryHOOH)</t>
  </si>
  <si>
    <t>1449_LABOR</t>
  </si>
  <si>
    <t>Vacancy Rate (E2E Delivery HO OH)</t>
  </si>
  <si>
    <t>vacancyRateE2EDeliveryHOOH</t>
  </si>
  <si>
    <t>e2EDeliverySalariesBaseHOOH/ (headcountE2EDeliveryHOOH * salaryperHeadcountE2EDeliveryHOOH)</t>
  </si>
  <si>
    <t>1536_LABOR</t>
  </si>
  <si>
    <t>Merit/Inflation (SC MGMT HO OH)</t>
  </si>
  <si>
    <t>meritInflationSCMGMTHOOH</t>
  </si>
  <si>
    <t>e2EDeliverySalariesHOOH/e2EDeliverySalariesBaseHOOH</t>
  </si>
  <si>
    <t>946_LABOR</t>
  </si>
  <si>
    <t>Core Salaries (HO OH)</t>
  </si>
  <si>
    <t>coreSalariesHOOH</t>
  </si>
  <si>
    <t>coreSalariesBaseHOOH * meritInflationSCMGMTHOOH</t>
  </si>
  <si>
    <t>947_LABOR</t>
  </si>
  <si>
    <t>Core Salaries Base (HO OH)</t>
  </si>
  <si>
    <t>coreSalariesBaseHOOH</t>
  </si>
  <si>
    <t>headcountCoreHOOH * salaryperHeadcountCoreHOOH * vacancyRateCoreHOOH</t>
  </si>
  <si>
    <t>948_LABOR</t>
  </si>
  <si>
    <t>Headcount (Core HO OH)</t>
  </si>
  <si>
    <t>headcountCoreHOOH</t>
  </si>
  <si>
    <t>coreSalariesBaseHOOH/(salaryperHeadcountCoreHOOH * vacancyRateCoreHOOH)</t>
  </si>
  <si>
    <t>949_LABOR</t>
  </si>
  <si>
    <t>Salary per Headcount (Core HO OH)</t>
  </si>
  <si>
    <t>salaryperHeadcountCoreHOOH</t>
  </si>
  <si>
    <t>coreSalariesBaseHOOH/(headcountCoreHOOH*vacancyRateCoreHOOH)</t>
  </si>
  <si>
    <t>950_LABOR</t>
  </si>
  <si>
    <t>Vacancy Rate (Core HO OH)</t>
  </si>
  <si>
    <t>vacancyRateCoreHOOH</t>
  </si>
  <si>
    <t>coreSalariesBaseHOOH/(headcountCoreHOOH * salaryperHeadcountCoreHOOH)</t>
  </si>
  <si>
    <t>952_LABOR</t>
  </si>
  <si>
    <t>I&amp;A Salaries (HO OH)</t>
  </si>
  <si>
    <t>iandASalariesHOOH</t>
  </si>
  <si>
    <t>iandASalariesBaseHOOH * meritInflationSCMGMTHOOH</t>
  </si>
  <si>
    <t>953_LABOR</t>
  </si>
  <si>
    <t>I&amp;A Salaries Base (HO OH)</t>
  </si>
  <si>
    <t>iandASalariesBaseHOOH</t>
  </si>
  <si>
    <t>headcountIandAHOOH * salaryperHeadcountIandAHOOH * vacancyRateIandAHOOH</t>
  </si>
  <si>
    <t>954_LABOR</t>
  </si>
  <si>
    <t>Headcount (I&amp;A HO OH)</t>
  </si>
  <si>
    <t>headcountIandAHOOH</t>
  </si>
  <si>
    <t>iandASalariesBaseHOOH/ (salaryperHeadcountIandAHOOH * vacancyRateIandAHOOH)</t>
  </si>
  <si>
    <t>955_LABOR</t>
  </si>
  <si>
    <t>Salary per Headcount (I&amp;A HO OH)</t>
  </si>
  <si>
    <t>salaryperHeadcountIandAHOOH</t>
  </si>
  <si>
    <t>iandASalariesBaseHOOH/ (headcountIandAHOOH*vacancyRateIandAHOOH)</t>
  </si>
  <si>
    <t>956_LABOR</t>
  </si>
  <si>
    <t>Vacancy Rate (I&amp;A HO OH)</t>
  </si>
  <si>
    <t>vacancyRateIandAHOOH</t>
  </si>
  <si>
    <t>iandASalariesBaseHOOH/(headcountIandAHOOH * salaryperHeadcountIandAHOOH)</t>
  </si>
  <si>
    <t>1944_LABOR</t>
  </si>
  <si>
    <t>Home Office Support Salaries (HO OH)</t>
  </si>
  <si>
    <t>homeOfficeSupportSalariesHOOH</t>
  </si>
  <si>
    <t>hOOperationsSalariesHOOH + complianceSalariesHOOH + peopleexclSCSalariesHOOH + merchandisingwithoutPRSalesSalariesHOOH + handWSalariesHOOH + financeexclSCandPRSalariesHOOH + executiveSalariesHOOH + supportOtherSalariesHOOH + hOCustomerSalariesHOOH + hOEcommSalariesHOOH + productandInnovationSalariesHOOH + hORevenueGrowthSalariesHOOH + store8SalariesHOOH + walmartOneSalariesHOOH</t>
  </si>
  <si>
    <t>1002_LABOR</t>
  </si>
  <si>
    <t>HO Operations Salaries (HO OH)</t>
  </si>
  <si>
    <t>hOOperationsSalariesHOOH</t>
  </si>
  <si>
    <t xml:space="preserve">energyTransformationSalariesHOOH + realEstateSalariesHOOH + storeOpsSalariesHOOH + transformationSupportSalariesHOOH </t>
  </si>
  <si>
    <t>1003_LABOR</t>
  </si>
  <si>
    <t>Energy Transformation Salaries (HO OH)</t>
  </si>
  <si>
    <t>energyTransformationSalariesHOOH</t>
  </si>
  <si>
    <t>energyTransformationSalariesBaseHOOH *  meritPctIncreaseHOOH</t>
  </si>
  <si>
    <t>1004_LABOR</t>
  </si>
  <si>
    <t>Energy Transformation Salaries Base (HO OH)</t>
  </si>
  <si>
    <t>energyTransformationSalariesBaseHOOH</t>
  </si>
  <si>
    <t>headcountEnergyTransformationHOOH * salaryperHeadcountEnergyTransformationHOOH * vacancyRateEnergyTransformationHOOH</t>
  </si>
  <si>
    <t>1005_LABOR</t>
  </si>
  <si>
    <t>Headcount (Energy Transformation HO OH)</t>
  </si>
  <si>
    <t>headcountEnergyTransformationHOOH</t>
  </si>
  <si>
    <t>energyTransformationSalariesBaseHOOH/(salaryperHeadcountEnergyTransformationHOOH * vacancyRateEnergyTransformationHOOH)</t>
  </si>
  <si>
    <t>1006_LABOR</t>
  </si>
  <si>
    <t>Salary per Headcount (Energy Transformation HO OH)</t>
  </si>
  <si>
    <t>salaryperHeadcountEnergyTransformationHOOH</t>
  </si>
  <si>
    <t>energyTransformationSalariesBaseHOOH/(headcountEnergyTransformationHOOH*vacancyRateEnergyTransformationHOOH)</t>
  </si>
  <si>
    <t>1007_LABOR</t>
  </si>
  <si>
    <t>Vacancy Rate (Energy Transformation HO OH)</t>
  </si>
  <si>
    <t>vacancyRateEnergyTransformationHOOH</t>
  </si>
  <si>
    <t>energyTransformationSalariesBaseHOOH/ (headcountEnergyTransformationHOOH * salaryperHeadcountEnergyTransformationHOOH)</t>
  </si>
  <si>
    <t>1009_LABOR</t>
  </si>
  <si>
    <t>Real Estate Salaries (HO OH)</t>
  </si>
  <si>
    <t>realEstateSalariesHOOH</t>
  </si>
  <si>
    <t>realEstateSalariesBaseHOOH * meritPctIncreaseHOOH</t>
  </si>
  <si>
    <t>1010_LABOR</t>
  </si>
  <si>
    <t>Real Estate Salaries Base (HO OH)</t>
  </si>
  <si>
    <t>realEstateSalariesBaseHOOH</t>
  </si>
  <si>
    <t>headcountRealEstateHOOH * salaryperHeadcountRealEstateHOOH * vacancyRateRealEstateHOOH</t>
  </si>
  <si>
    <t>1011_LABOR</t>
  </si>
  <si>
    <t>Headcount (Real Estate HO OH)</t>
  </si>
  <si>
    <t>headcountRealEstateHOOH</t>
  </si>
  <si>
    <t>realEstateSalariesBaseHOOH/(salaryperHeadcountRealEstateHOOH * vacancyRateRealEstateHOOH)</t>
  </si>
  <si>
    <t>1012_LABOR</t>
  </si>
  <si>
    <t>Salary per Headcount (Real Estate HO OH)</t>
  </si>
  <si>
    <t>salaryperHeadcountRealEstateHOOH</t>
  </si>
  <si>
    <t>realEstateSalariesBaseHOOH/ (headcountRealEstateHOOH*vacancyRateRealEstateHOOH)</t>
  </si>
  <si>
    <t>1013_LABOR</t>
  </si>
  <si>
    <t>Vacancy Rate (Real Estate HO OH)</t>
  </si>
  <si>
    <t>vacancyRateRealEstateHOOH</t>
  </si>
  <si>
    <t>realEstateSalariesBaseHOOH/(headcountRealEstateHOOH * salaryperHeadcountRealEstateHOOH)</t>
  </si>
  <si>
    <t>1015_LABOR</t>
  </si>
  <si>
    <t>Store Ops Salaries (HO OH)</t>
  </si>
  <si>
    <t>storeOpsSalariesHOOH</t>
  </si>
  <si>
    <t>storeOpsSalariesBaseHOOH * meritPctIncreaseHOOH</t>
  </si>
  <si>
    <t>1016_LABOR</t>
  </si>
  <si>
    <t>Store Ops Salaries Base (HO OH)</t>
  </si>
  <si>
    <t>storeOpsSalariesBaseHOOH</t>
  </si>
  <si>
    <t>headcountStoreOpsHOOH * salaryperHeadcountStoreOpsHOOH * vacancyRateStoreOpsHOOH</t>
  </si>
  <si>
    <t>1017_LABOR</t>
  </si>
  <si>
    <t>Headcount (Store Ops HO OH)</t>
  </si>
  <si>
    <t>headcountStoreOpsHOOH</t>
  </si>
  <si>
    <t>storeOpsSalariesBaseHOOH/ (salaryperHeadcountStoreOpsHOOH * vacancyRateStoreOpsHOOH)</t>
  </si>
  <si>
    <t>1018_LABOR</t>
  </si>
  <si>
    <t>Salary per Headcount (Store Ops HO OH)</t>
  </si>
  <si>
    <t>salaryperHeadcountStoreOpsHOOH</t>
  </si>
  <si>
    <t>storeOpsSalariesBaseHOOH/ (headcountStoreOpsHOOH*vacancyRateStoreOpsHOOH)</t>
  </si>
  <si>
    <t>1019_LABOR</t>
  </si>
  <si>
    <t>Vacancy Rate (Store Ops HO OH)</t>
  </si>
  <si>
    <t>vacancyRateStoreOpsHOOH</t>
  </si>
  <si>
    <t>storeOpsSalariesBaseHOOH/ (headcountStoreOpsHOOH * salaryperHeadcountStoreOpsHOOH)</t>
  </si>
  <si>
    <t>1021_LABOR</t>
  </si>
  <si>
    <t>Transformation Support Salaries (HO OH)</t>
  </si>
  <si>
    <t>transformationSupportSalariesHOOH</t>
  </si>
  <si>
    <t>transformationSupportSalariesBaseHOOH * meritPctIncreaseHOOH</t>
  </si>
  <si>
    <t>1022_LABOR</t>
  </si>
  <si>
    <t>Transformation Support Salaries Base (HO OH)</t>
  </si>
  <si>
    <t>transformationSupportSalariesBaseHOOH</t>
  </si>
  <si>
    <t>headcountTransformationSupportHOOH * salaryperHeadcountTransformationSupportHOOH * vacancyRateTransformationSupportHOOH</t>
  </si>
  <si>
    <t>1023_LABOR</t>
  </si>
  <si>
    <t>Headcount (Transformation Support HO OH)</t>
  </si>
  <si>
    <t>headcountTransformationSupportHOOH</t>
  </si>
  <si>
    <t>transformationSupportSalariesBaseHOOH/(salaryperHeadcountTransformationSupportHOOH * vacancyRateTransformationSupportHOOH)</t>
  </si>
  <si>
    <t>1024_LABOR</t>
  </si>
  <si>
    <t>Salary per Headcount (Transformation Support HO OH)</t>
  </si>
  <si>
    <t>salaryperHeadcountTransformationSupportHOOH</t>
  </si>
  <si>
    <t>transformationSupportSalariesBaseHOOH/(headcountTransformationSupportHOOH*vacancyRateTransformationSupportHOOH)</t>
  </si>
  <si>
    <t>1025_LABOR</t>
  </si>
  <si>
    <t>Vacancy Rate (Transformation Support HO OH)</t>
  </si>
  <si>
    <t>vacancyRateTransformationSupportHOOH</t>
  </si>
  <si>
    <t>transformationSupportSalariesBaseHOOH/(headcountTransformationSupportHOOH * salaryperHeadcountTransformationSupportHOOH)</t>
  </si>
  <si>
    <t>1027_LABOR</t>
  </si>
  <si>
    <t>Compliance Salaries (HO OH)</t>
  </si>
  <si>
    <t>complianceSalariesHOOH</t>
  </si>
  <si>
    <t>complianceSalariesBaseHOOH * meritPctIncreaseHOOH</t>
  </si>
  <si>
    <t>1028_LABOR</t>
  </si>
  <si>
    <t>Compliance Salaries Base (HO OH)</t>
  </si>
  <si>
    <t>complianceSalariesBaseHOOH</t>
  </si>
  <si>
    <t>headcountComplianceHOOH * salaryperHeadcountComplianceHOOH * vacancyRateComplianceHOOH</t>
  </si>
  <si>
    <t>1029_LABOR</t>
  </si>
  <si>
    <t>Headcount (Compliance HO OH)</t>
  </si>
  <si>
    <t>headcountComplianceHOOH</t>
  </si>
  <si>
    <t>complianceSalariesBaseHOOH/(salaryperHeadcountComplianceHOOH * vacancyRateComplianceHOOH)</t>
  </si>
  <si>
    <t>1030_LABOR</t>
  </si>
  <si>
    <t>Salary per Headcount (Compliance HO OH)</t>
  </si>
  <si>
    <t>salaryperHeadcountComplianceHOOH</t>
  </si>
  <si>
    <t>complianceSalariesBaseHOOH/(headcountComplianceHOOH*vacancyRateComplianceHOOH)</t>
  </si>
  <si>
    <t>1031_LABOR</t>
  </si>
  <si>
    <t>Vacancy Rate (Compliance HO OH)</t>
  </si>
  <si>
    <t>vacancyRateComplianceHOOH</t>
  </si>
  <si>
    <t>complianceSalariesBaseHOOH/(headcountComplianceHOOH * salaryperHeadcountComplianceHOOH)</t>
  </si>
  <si>
    <t>1033_LABOR</t>
  </si>
  <si>
    <t>People excl SC Salaries (HO OH)</t>
  </si>
  <si>
    <t>peopleexclSCSalariesHOOH</t>
  </si>
  <si>
    <t>peopleexclSCSalariesBaseHOOH * meritPctIncreaseHOOH</t>
  </si>
  <si>
    <t>1034_LABOR</t>
  </si>
  <si>
    <t>People excl SC Salaries Base (HO OH)</t>
  </si>
  <si>
    <t>peopleexclSCSalariesBaseHOOH</t>
  </si>
  <si>
    <t>headcountPeopleexclSCHOOH * salaryperHeadcountPeopleexclSCHOOH * vacancyRatePeopleexclSCHOOH</t>
  </si>
  <si>
    <t>1035_LABOR</t>
  </si>
  <si>
    <t>Headcount (People excl SC HO OH)</t>
  </si>
  <si>
    <t>headcountPeopleexclSCHOOH</t>
  </si>
  <si>
    <t>peopleexclSCSalariesBaseHOOH/ (salaryperHeadcountPeopleexclSCHOOH * vacancyRatePeopleexclSCHOOH)</t>
  </si>
  <si>
    <t>1036_LABOR</t>
  </si>
  <si>
    <t>Salary per Headcount (People excl SC HO OH)</t>
  </si>
  <si>
    <t>salaryperHeadcountPeopleexclSCHOOH</t>
  </si>
  <si>
    <t>peopleexclSCSalariesBaseHOOH/(headcountPeopleexclSCHOOH*vacancyRatePeopleexclSCHOOH)</t>
  </si>
  <si>
    <t>1037_LABOR</t>
  </si>
  <si>
    <t>Vacancy Rate (People excl SC HO OH)</t>
  </si>
  <si>
    <t>vacancyRatePeopleexclSCHOOH</t>
  </si>
  <si>
    <t>peopleexclSCSalariesBaseHOOH/(headcountPeopleexclSCHOOH * salaryperHeadcountPeopleexclSCHOOH)</t>
  </si>
  <si>
    <t>1039_LABOR</t>
  </si>
  <si>
    <t>Merchandising without PR Sales Salaries (HO OH)</t>
  </si>
  <si>
    <t>merchandisingwithoutPRSalesSalariesHOOH</t>
  </si>
  <si>
    <t>merchandisingwithoutPRSalesSalariesBaseHOOH * meritPctIncreaseHOOH</t>
  </si>
  <si>
    <t>1040_LABOR</t>
  </si>
  <si>
    <t>Merchandising without PR Sales Salaries Base (HO OH)</t>
  </si>
  <si>
    <t>merchandisingwithoutPRSalesSalariesBaseHOOH</t>
  </si>
  <si>
    <t>headcountMerchandisingwithoutPRSalesHOOH * salaryperHeadcountMerchandisingwithoutPRSalesHOOH * vacancyRateMerchandisingwithoutPRSalesHOOH</t>
  </si>
  <si>
    <t>1041_LABOR</t>
  </si>
  <si>
    <t>Headcount (Merchandising without PR Sales HO OH)</t>
  </si>
  <si>
    <t>headcountMerchandisingwithoutPRSalesHOOH</t>
  </si>
  <si>
    <t>merchandisingwithoutPRSalesSalariesBaseHOOH/(salaryperHeadcountMerchandisingwithoutPRSalesHOOH * vacancyRateMerchandisingwithoutPRSalesHOOH)</t>
  </si>
  <si>
    <t>1042_LABOR</t>
  </si>
  <si>
    <t>Salary per Headcount (Merchandising without PR Sales HO OH)</t>
  </si>
  <si>
    <t>salaryperHeadcountMerchandisingwithoutPRSalesHOOH</t>
  </si>
  <si>
    <t>merchandisingwithoutPRSalesSalariesBaseHOOH/(headcountMerchandisingwithoutPRSalesHOOH*vacancyRateMerchandisingwithoutPRSalesHOOH)</t>
  </si>
  <si>
    <t>1043_LABOR</t>
  </si>
  <si>
    <t>Vacancy Rate (Merchandising without PR Sales HO OH)</t>
  </si>
  <si>
    <t>vacancyRateMerchandisingwithoutPRSalesHOOH</t>
  </si>
  <si>
    <t>merchandisingwithoutPRSalesSalariesBaseHOOH/(headcountMerchandisingwithoutPRSalesHOOH * salaryperHeadcountMerchandisingwithoutPRSalesHOOH)</t>
  </si>
  <si>
    <t>1045_LABOR</t>
  </si>
  <si>
    <t>H&amp;W Salaries (HO OH)</t>
  </si>
  <si>
    <t>handWSalariesHOOH</t>
  </si>
  <si>
    <t>handWSalariesBaseHOOH * meritPctIncreaseHOOH</t>
  </si>
  <si>
    <t>1046_LABOR</t>
  </si>
  <si>
    <t>H&amp;W Salaries Base (HO OH)</t>
  </si>
  <si>
    <t>handWSalariesBaseHOOH</t>
  </si>
  <si>
    <t>headcountHandWHOOH * salaryperHeadcountHandWHOOH * vacancyRateHandWHOOH</t>
  </si>
  <si>
    <t>1047_LABOR</t>
  </si>
  <si>
    <t>Headcount (H&amp;W HO OH)</t>
  </si>
  <si>
    <t>headcountHandWHOOH</t>
  </si>
  <si>
    <t>handWSalariesBaseHOOH/(salaryperHeadcountHandWHOOH * vacancyRateHandWHOOH)</t>
  </si>
  <si>
    <t>1048_LABOR</t>
  </si>
  <si>
    <t>Salary per Headcount (H&amp;W HO OH)</t>
  </si>
  <si>
    <t>salaryperHeadcountHandWHOOH</t>
  </si>
  <si>
    <t>handWSalariesBaseHOOH/(headcountHandWHOOH*vacancyRateHandWHOOH)</t>
  </si>
  <si>
    <t>1049_LABOR</t>
  </si>
  <si>
    <t>Vacancy Rate (H&amp;W HO OH)</t>
  </si>
  <si>
    <t>vacancyRateHandWHOOH</t>
  </si>
  <si>
    <t>handWSalariesBaseHOOH/(headcountHandWHOOH * salaryperHeadcountHandWHOOH)</t>
  </si>
  <si>
    <t>1052_LABOR</t>
  </si>
  <si>
    <t>Finance excl SC and PR Salaries (HO OH)</t>
  </si>
  <si>
    <t>financeexclSCandPRSalariesHOOH</t>
  </si>
  <si>
    <t>financeexclSCandPRSalariesBaseHOOH * meritPctIncreaseHOOH</t>
  </si>
  <si>
    <t>1053_LABOR</t>
  </si>
  <si>
    <t>Finance excl SC and PR Salaries Base (HO OH)</t>
  </si>
  <si>
    <t>financeexclSCandPRSalariesBaseHOOH</t>
  </si>
  <si>
    <t>headcountFinanceexclSCandPRHOOH * salaryperHeadcountFinanceexclSCandPRHOOH *  vacancyRateFinanceexclSCandPRHOOH</t>
  </si>
  <si>
    <t>1054_LABOR</t>
  </si>
  <si>
    <t>Headcount (Finance excl SC and PR HO OH)</t>
  </si>
  <si>
    <t>headcountFinanceexclSCandPRHOOH</t>
  </si>
  <si>
    <t>financeexclSCandPRSalariesBaseHOOH/(salaryperHeadcountFinanceexclSCandPRHOOH *  vacancyRateFinanceexclSCandPRHOOH)</t>
  </si>
  <si>
    <t>1055_LABOR</t>
  </si>
  <si>
    <t>Salary per Headcount (Finance excl SC and PR HO OH)</t>
  </si>
  <si>
    <t>salaryperHeadcountFinanceexclSCandPRHOOH</t>
  </si>
  <si>
    <t>financeexclSCandPRSalariesBaseHOOH/(headcountFinanceexclSCandPRHOOH*vacancyRateFinanceexclSCandPRHOOH)</t>
  </si>
  <si>
    <t>1056_LABOR</t>
  </si>
  <si>
    <t>Vacancy Rate (Finance excl SC and PR HO OH)</t>
  </si>
  <si>
    <t>vacancyRateFinanceexclSCandPRHOOH</t>
  </si>
  <si>
    <t>financeexclSCandPRSalariesBaseHOOH/ (headcountFinanceexclSCandPRHOOH * salaryperHeadcountFinanceexclSCandPRHOOH)</t>
  </si>
  <si>
    <t>1058_LABOR</t>
  </si>
  <si>
    <t>Executive Salaries (HO OH)</t>
  </si>
  <si>
    <t>executiveSalariesHOOH</t>
  </si>
  <si>
    <t>executiveSalariesBaseHOOH * meritPctIncreaseHOOH</t>
  </si>
  <si>
    <t>1059_LABOR</t>
  </si>
  <si>
    <t>Executive Salaries Base (HO OH)</t>
  </si>
  <si>
    <t>executiveSalariesBaseHOOH</t>
  </si>
  <si>
    <t>headcountExecutiveHOOH * salaryperHeadcountExecutiveHOOH * vacancyRateExecutiveHOOH</t>
  </si>
  <si>
    <t>1060_LABOR</t>
  </si>
  <si>
    <t>Headcount (Executive HO OH)</t>
  </si>
  <si>
    <t>headcountExecutiveHOOH</t>
  </si>
  <si>
    <t>executiveSalariesBaseHOOH/(salaryperHeadcountExecutiveHOOH * vacancyRateExecutiveHOOH)</t>
  </si>
  <si>
    <t>1061_LABOR</t>
  </si>
  <si>
    <t>Salary per Headcount (Executive HO OH)</t>
  </si>
  <si>
    <t>salaryperHeadcountExecutiveHOOH</t>
  </si>
  <si>
    <t>executiveSalariesBaseHOOH/(headcountExecutiveHOOH*vacancyRateExecutiveHOOH)</t>
  </si>
  <si>
    <t>1062_LABOR</t>
  </si>
  <si>
    <t>Vacancy Rate (Executive HO OH)</t>
  </si>
  <si>
    <t>vacancyRateExecutiveHOOH</t>
  </si>
  <si>
    <t>executiveSalariesBaseHOOH/(headcountExecutiveHOOH * salaryperHeadcountExecutiveHOOH)</t>
  </si>
  <si>
    <t>1064_LABOR</t>
  </si>
  <si>
    <t>Support Other Salaries (HO OH)</t>
  </si>
  <si>
    <t>supportOtherSalariesHOOH</t>
  </si>
  <si>
    <t>supportOtherSalariesBaseHOOH * meritPctIncreaseHOOH</t>
  </si>
  <si>
    <t>1065_LABOR</t>
  </si>
  <si>
    <t>Support Other Salaries Base (HO OH)</t>
  </si>
  <si>
    <t>supportOtherSalariesBaseHOOH</t>
  </si>
  <si>
    <t>headcountSupportOtherHOOH * salaryperHeadcountSupportOtherHOOH * vacancyRateSupportOtherHOOH</t>
  </si>
  <si>
    <t>1066_LABOR</t>
  </si>
  <si>
    <t>Headcount (Support Other HO OH)</t>
  </si>
  <si>
    <t>headcountSupportOtherHOOH</t>
  </si>
  <si>
    <t>supportOtherSalariesBaseHOOH/(salaryperHeadcountSupportOtherHOOH * vacancyRateSupportOtherHOOH)</t>
  </si>
  <si>
    <t>1067_LABOR</t>
  </si>
  <si>
    <t>Salary per Headcount (Support Other HO OH)</t>
  </si>
  <si>
    <t>salaryperHeadcountSupportOtherHOOH</t>
  </si>
  <si>
    <t>supportOtherSalariesBaseHOOH/(headcountSupportOtherHOOH*vacancyRateSupportOtherHOOH)</t>
  </si>
  <si>
    <t>1068_LABOR</t>
  </si>
  <si>
    <t>Vacancy Rate (Support Other HO OH)</t>
  </si>
  <si>
    <t>vacancyRateSupportOtherHOOH</t>
  </si>
  <si>
    <t>supportOtherSalariesBaseHOOH/(headcountSupportOtherHOOH * salaryperHeadcountSupportOtherHOOH)</t>
  </si>
  <si>
    <t>1070_LABOR</t>
  </si>
  <si>
    <t>HO Customer Salaries (HO OH)</t>
  </si>
  <si>
    <t>hOCustomerSalariesHOOH</t>
  </si>
  <si>
    <t>customerDesignSalariesHOOH + customerMarketingSalariesHOOH + customerStrategySalariesHOOH + customerAdminSalariesHOOH</t>
  </si>
  <si>
    <t>1071_LABOR</t>
  </si>
  <si>
    <t>Customer Design Salaries (HO OH)</t>
  </si>
  <si>
    <t>customerDesignSalariesHOOH</t>
  </si>
  <si>
    <t>customerDesignSalariesBaseHOOH * meritPctIncreaseHOOH</t>
  </si>
  <si>
    <t>1072_LABOR</t>
  </si>
  <si>
    <t>Customer Design Salaries Base (HO OH)</t>
  </si>
  <si>
    <t>customerDesignSalariesBaseHOOH</t>
  </si>
  <si>
    <t>headcountCustomerDesignHOOH * salaryperHeadcountCustomerDesignHOOH * vacancyRateCustomerDesignHOOH</t>
  </si>
  <si>
    <t>1073_LABOR</t>
  </si>
  <si>
    <t>Headcount (Customer Design HO OH)</t>
  </si>
  <si>
    <t>headcountCustomerDesignHOOH</t>
  </si>
  <si>
    <t>customerDesignSalariesBaseHOOH/(salaryperHeadcountCustomerDesignHOOH * vacancyRateCustomerDesignHOOH)</t>
  </si>
  <si>
    <t>1074_LABOR</t>
  </si>
  <si>
    <t>Salary per Headcount (Customer Design HO OH)</t>
  </si>
  <si>
    <t>salaryperHeadcountCustomerDesignHOOH</t>
  </si>
  <si>
    <t>customerDesignSalariesBaseHOOH/(vacancyRateCustomerDesignHOOH * headcountCustomerDesignHOOH)</t>
  </si>
  <si>
    <t>1075_LABOR</t>
  </si>
  <si>
    <t>Vacancy Rate (Customer Design HO OH)</t>
  </si>
  <si>
    <t>vacancyRateCustomerDesignHOOH</t>
  </si>
  <si>
    <t>customerDesignSalariesBaseHOOH/(headcountCustomerDesignHOOH * salaryperHeadcountCustomerDesignHOOH)</t>
  </si>
  <si>
    <t>1077_LABOR</t>
  </si>
  <si>
    <t>Customer Marketing Salaries (HO OH)</t>
  </si>
  <si>
    <t>customerMarketingSalariesHOOH</t>
  </si>
  <si>
    <t>customerMarketingSalariesBaseHOOH * meritPctIncreaseHOOH</t>
  </si>
  <si>
    <t>1078_LABOR</t>
  </si>
  <si>
    <t>Customer Marketing Salaries Base (HO OH)</t>
  </si>
  <si>
    <t>customerMarketingSalariesBaseHOOH</t>
  </si>
  <si>
    <t>headcountCustomerMarketingHOOH * salaryperHeadcountCustomerMarketingHOOH * vacancyRateCustomerMarketingHOOH</t>
  </si>
  <si>
    <t>1079_LABOR</t>
  </si>
  <si>
    <t>Headcount (Customer Marketing HO OH)</t>
  </si>
  <si>
    <t>headcountCustomerMarketingHOOH</t>
  </si>
  <si>
    <t>customerMarketingSalariesBaseHOOH/(salaryperHeadcountCustomerMarketingHOOH * vacancyRateCustomerMarketingHOOH)</t>
  </si>
  <si>
    <t>1080_LABOR</t>
  </si>
  <si>
    <t>Salary per Headcount (Customer Marketing HO OH)</t>
  </si>
  <si>
    <t>salaryperHeadcountCustomerMarketingHOOH</t>
  </si>
  <si>
    <t>customerMarketingSalariesBaseHOOH/(headcountCustomerMarketingHOOH*vacancyRateCustomerMarketingHOOH)</t>
  </si>
  <si>
    <t>1081_LABOR</t>
  </si>
  <si>
    <t>Vacancy Rate (Customer Marketing HO OH)</t>
  </si>
  <si>
    <t>vacancyRateCustomerMarketingHOOH</t>
  </si>
  <si>
    <t>customerMarketingSalariesBaseHOOH/(headcountCustomerMarketingHOOH * salaryperHeadcountCustomerMarketingHOOH)</t>
  </si>
  <si>
    <t>1083_LABOR</t>
  </si>
  <si>
    <t>Customer Strategy Salaries (HO OH)</t>
  </si>
  <si>
    <t>customerStrategySalariesHOOH</t>
  </si>
  <si>
    <t>customerStrategySalariesBaseHOOH * meritPctIncreaseHOOH</t>
  </si>
  <si>
    <t>1084_LABOR</t>
  </si>
  <si>
    <t>Customer Strategy Salaries Base (HO OH)</t>
  </si>
  <si>
    <t>customerStrategySalariesBaseHOOH</t>
  </si>
  <si>
    <t xml:space="preserve">headcountCustomerStrategyHOOH * salaryperHeadcountCustomerStrategyHOOH * vacancyRateCustomerStrategyHOOH </t>
  </si>
  <si>
    <t>1085_LABOR</t>
  </si>
  <si>
    <t>Headcount (Customer Strategy HO OH)</t>
  </si>
  <si>
    <t>headcountCustomerStrategyHOOH</t>
  </si>
  <si>
    <t>customerStrategySalariesBaseHOOH/(salaryperHeadcountCustomerStrategyHOOH * vacancyRateCustomerStrategyHOOH )</t>
  </si>
  <si>
    <t>1086_LABOR</t>
  </si>
  <si>
    <t>Salary per Headcount (Customer Strategy HO OH)</t>
  </si>
  <si>
    <t>salaryperHeadcountCustomerStrategyHOOH</t>
  </si>
  <si>
    <t>customerStrategySalariesBaseHOOH/(headcountCustomerStrategyHOOH*vacancyRateCustomerStrategyHOOH)</t>
  </si>
  <si>
    <t>1087_LABOR</t>
  </si>
  <si>
    <t>Vacancy Rate (Customer Strategy HO OH)</t>
  </si>
  <si>
    <t>vacancyRateCustomerStrategyHOOH</t>
  </si>
  <si>
    <t>customerStrategySalariesBaseHOOH/headcountCustomerStrategyHOOH * salaryperHeadcountCustomerStrategyHOOH</t>
  </si>
  <si>
    <t>1089_LABOR</t>
  </si>
  <si>
    <t>Customer Admin Salaries (HO OH)</t>
  </si>
  <si>
    <t>customerAdminSalariesHOOH</t>
  </si>
  <si>
    <t>customerAdminSalariesBaseHOOH *  meritPctIncreaseHOOH</t>
  </si>
  <si>
    <t>1090_LABOR</t>
  </si>
  <si>
    <t>Customer Admin Salaries Base (HO OH)</t>
  </si>
  <si>
    <t>customerAdminSalariesBaseHOOH</t>
  </si>
  <si>
    <t>headcountCustomerAdminHOOH * salaryperHeadcountCustomerAdminHOOH * vacancyRateCustomerAdminHOOH</t>
  </si>
  <si>
    <t>1091_LABOR</t>
  </si>
  <si>
    <t>Headcount (Customer Admin HO OH)</t>
  </si>
  <si>
    <t>headcountCustomerAdminHOOH</t>
  </si>
  <si>
    <t>customerAdminSalariesBaseHOOH/(salaryperHeadcountCustomerAdminHOOH * vacancyRateCustomerAdminHOOH)</t>
  </si>
  <si>
    <t>1092_LABOR</t>
  </si>
  <si>
    <t>Salary per Headcount (Customer Admin HO OH)</t>
  </si>
  <si>
    <t>salaryperHeadcountCustomerAdminHOOH</t>
  </si>
  <si>
    <t>customerAdminSalariesBaseHOOH/(headcountCustomerAdminHOOH*vacancyRateCustomerAdminHOOH)</t>
  </si>
  <si>
    <t>1093_LABOR</t>
  </si>
  <si>
    <t>Vacancy Rate (Customer Admin HO OH)</t>
  </si>
  <si>
    <t>vacancyRateCustomerAdminHOOH</t>
  </si>
  <si>
    <t>customerAdminSalariesBaseHOOH/(headcountCustomerAdminHOOH * salaryperHeadcountCustomerAdminHOOH)</t>
  </si>
  <si>
    <t>1095_LABOR</t>
  </si>
  <si>
    <t>HO Ecomm Salaries (HO OH)</t>
  </si>
  <si>
    <t>hOEcommSalariesHOOH</t>
  </si>
  <si>
    <t xml:space="preserve">financialServicesSalariesHOOH + oPDSalariesHOOH + siteExperienceSalariesHOOH + inHomeSalariesHOOH + marketplaceandWFSSalariesHOOH + adminSalariesHOOH </t>
  </si>
  <si>
    <t>1096_LABOR</t>
  </si>
  <si>
    <t>Financial Services Salaries (HO OH)</t>
  </si>
  <si>
    <t>financialServicesSalariesHOOH</t>
  </si>
  <si>
    <t>financialServicesSalariesBaseHOOH * meritPctIncreaseHOOH</t>
  </si>
  <si>
    <t>1097_LABOR</t>
  </si>
  <si>
    <t>Financial Services Salaries Base (HO OH)</t>
  </si>
  <si>
    <t>financialServicesSalariesBaseHOOH</t>
  </si>
  <si>
    <t>headcountFinancialServicesHOOH * salaryperHeadcountFinancialServicesHOOH * vacancyRateFinancialServicesHOOH</t>
  </si>
  <si>
    <t>1098_LABOR</t>
  </si>
  <si>
    <t>Headcount (Financial Services HO OH)</t>
  </si>
  <si>
    <t>headcountFinancialServicesHOOH</t>
  </si>
  <si>
    <t>financialServicesSalariesBaseHOOH/(salaryperHeadcountFinancialServicesHOOH * vacancyRateFinancialServicesHOOH)</t>
  </si>
  <si>
    <t>1099_LABOR</t>
  </si>
  <si>
    <t>Salary per Headcount (Financial Services HO OH)</t>
  </si>
  <si>
    <t>salaryperHeadcountFinancialServicesHOOH</t>
  </si>
  <si>
    <t>financialServicesSalariesBaseHOOH/(headcountFinancialServicesHOOH*vacancyRateFinancialServicesHOOH)</t>
  </si>
  <si>
    <t>1100_LABOR</t>
  </si>
  <si>
    <t>Vacancy Rate (Financial Services HO OH)</t>
  </si>
  <si>
    <t>vacancyRateFinancialServicesHOOH</t>
  </si>
  <si>
    <t>financialServicesSalariesBaseHOOH/(headcountFinancialServicesHOOH * salaryperHeadcountFinancialServicesHOOH)</t>
  </si>
  <si>
    <t>1102_LABOR</t>
  </si>
  <si>
    <t>OPD Salaries (HO OH)</t>
  </si>
  <si>
    <t>oPDSalariesHOOH</t>
  </si>
  <si>
    <t>oPDSalariesBaseHOOH * meritPctIncreaseHOOH</t>
  </si>
  <si>
    <t>1103_LABOR</t>
  </si>
  <si>
    <t>OPD Salaries Base (HO OH)</t>
  </si>
  <si>
    <t>oPDSalariesBaseHOOH</t>
  </si>
  <si>
    <t>headcountOPDHOOH * salaryperHeadcountOPDHOOH * vacancyRateOPDHOOH</t>
  </si>
  <si>
    <t>1104_LABOR</t>
  </si>
  <si>
    <t>Headcount (OPD HO OH)</t>
  </si>
  <si>
    <t>headcountOPDHOOH</t>
  </si>
  <si>
    <t>oPDSalariesBaseHOOH/(salaryperHeadcountOPDHOOH * vacancyRateOPDHOOH)</t>
  </si>
  <si>
    <t>1105_LABOR</t>
  </si>
  <si>
    <t>Salary per Headcount (OPD HO OH)</t>
  </si>
  <si>
    <t>salaryperHeadcountOPDHOOH</t>
  </si>
  <si>
    <t>oPDSalariesBaseHOOH/(headcountOPDHOOH*vacancyRateOPDHOOH)</t>
  </si>
  <si>
    <t>1106_LABOR</t>
  </si>
  <si>
    <t>Vacancy Rate (OPD HO OH)</t>
  </si>
  <si>
    <t>vacancyRateOPDHOOH</t>
  </si>
  <si>
    <t>oPDSalariesBaseHOOH/(headcountOPDHOOH * salaryperHeadcountOPDHOOH)</t>
  </si>
  <si>
    <t>1108_LABOR</t>
  </si>
  <si>
    <t>Site Experience Salaries (HO OH)</t>
  </si>
  <si>
    <t>siteExperienceSalariesHOOH</t>
  </si>
  <si>
    <t>siteExperienceSalariesBaseHOOH * meritPctIncreaseHOOH</t>
  </si>
  <si>
    <t>1109_LABOR</t>
  </si>
  <si>
    <t>Site Experience Salaries Base (HO OH)</t>
  </si>
  <si>
    <t>siteExperienceSalariesBaseHOOH</t>
  </si>
  <si>
    <t>headcountSiteExperienceHOOH * salaryperHeadcountSiteExperienceHOOH * vacancyRateSiteExperienceHOOH</t>
  </si>
  <si>
    <t>1110_LABOR</t>
  </si>
  <si>
    <t>Headcount (Site Experience HO OH)</t>
  </si>
  <si>
    <t>headcountSiteExperienceHOOH</t>
  </si>
  <si>
    <t>siteExperienceSalariesBaseHOOH/(salaryperHeadcountSiteExperienceHOOH * vacancyRateSiteExperienceHOOH)</t>
  </si>
  <si>
    <t>1111_LABOR</t>
  </si>
  <si>
    <t>Salary per Headcount (Site Experience HO OH)</t>
  </si>
  <si>
    <t>salaryperHeadcountSiteExperienceHOOH</t>
  </si>
  <si>
    <t>siteExperienceSalariesBaseHOOH/(headcountSiteExperienceHOOH*vacancyRateSiteExperienceHOOH)</t>
  </si>
  <si>
    <t>1112_LABOR</t>
  </si>
  <si>
    <t>Vacancy Rate (Site Experience HO OH)</t>
  </si>
  <si>
    <t>vacancyRateSiteExperienceHOOH</t>
  </si>
  <si>
    <t>siteExperienceSalariesBaseHOOH/(headcountSiteExperienceHOOH * salaryperHeadcountSiteExperienceHOOH)</t>
  </si>
  <si>
    <t>1114_LABOR</t>
  </si>
  <si>
    <t>In Home Salaries (HO OH)</t>
  </si>
  <si>
    <t>inHomeSalariesHOOH</t>
  </si>
  <si>
    <t>inHomeSalariesBaseHOOH * meritPctIncreaseHOOH</t>
  </si>
  <si>
    <t>1115_LABOR</t>
  </si>
  <si>
    <t>In Home Salaries Base (HO OH)</t>
  </si>
  <si>
    <t>inHomeSalariesBaseHOOH</t>
  </si>
  <si>
    <t>headcountInHomeHOOH *  salaryperHeadcountInHomeHOOH * vacancyRateInHomeHOOH</t>
  </si>
  <si>
    <t>1116_LABOR</t>
  </si>
  <si>
    <t>Headcount (In Home HO OH)</t>
  </si>
  <si>
    <t>headcountInHomeHOOH</t>
  </si>
  <si>
    <t>inHomeSalariesBaseHOOH/( salaryperHeadcountInHomeHOOH * vacancyRateInHomeHOOH)</t>
  </si>
  <si>
    <t>1117_LABOR</t>
  </si>
  <si>
    <t>Salary per Headcount (In Home HO OH)</t>
  </si>
  <si>
    <t>salaryperHeadcountInHomeHOOH</t>
  </si>
  <si>
    <t>inHomeSalariesBaseHOOH/(headcountInHomeHOOH*vacancyRateInHomeHOOH)</t>
  </si>
  <si>
    <t>1118_LABOR</t>
  </si>
  <si>
    <t>Vacancy Rate (In Home HO OH)</t>
  </si>
  <si>
    <t>vacancyRateInHomeHOOH</t>
  </si>
  <si>
    <t>inHomeSalariesBaseHOOH/(headcountInHomeHOOH *  salaryperHeadcountInHomeHOOH)</t>
  </si>
  <si>
    <t>1120_LABOR</t>
  </si>
  <si>
    <t>Marketplace and WFS Salaries (HO OH)</t>
  </si>
  <si>
    <t>marketplaceandWFSSalariesHOOH</t>
  </si>
  <si>
    <t>marketplaceandWFSSalariesBaseHOOH * meritPctIncreaseHOOH</t>
  </si>
  <si>
    <t>1121_LABOR</t>
  </si>
  <si>
    <t>Marketplace and WFS Salaries Base (HO OH)</t>
  </si>
  <si>
    <t>marketplaceandWFSSalariesBaseHOOH</t>
  </si>
  <si>
    <t>headcountMarketplaceandWFSHOOH * salaryperHeadcountMarketplaceandWFSHOOH * vacancyRateMarketplaceandWFSHOOH</t>
  </si>
  <si>
    <t>1122_LABOR</t>
  </si>
  <si>
    <t>Headcount (Marketplace and WFS HO OH)</t>
  </si>
  <si>
    <t>headcountMarketplaceandWFSHOOH</t>
  </si>
  <si>
    <t>marketplaceandWFSSalariesBaseHOOH/(salaryperHeadcountMarketplaceandWFSHOOH * vacancyRateMarketplaceandWFSHOOH)</t>
  </si>
  <si>
    <t>1123_LABOR</t>
  </si>
  <si>
    <t>Salary per Headcount (Marketplace and WFS HO OH)</t>
  </si>
  <si>
    <t>salaryperHeadcountMarketplaceandWFSHOOH</t>
  </si>
  <si>
    <t>marketplaceandWFSSalariesBaseHOOH/(headcountMarketplaceandWFSHOOH*vacancyRateMarketplaceandWFSHOOH)</t>
  </si>
  <si>
    <t>1124_LABOR</t>
  </si>
  <si>
    <t>Vacancy Rate (Marketplace and WFS HO OH)</t>
  </si>
  <si>
    <t>vacancyRateMarketplaceandWFSHOOH</t>
  </si>
  <si>
    <t>marketplaceandWFSSalariesBaseHOOH/(headcountMarketplaceandWFSHOOH * salaryperHeadcountMarketplaceandWFSHOOH)</t>
  </si>
  <si>
    <t>1126_LABOR</t>
  </si>
  <si>
    <t>Admin Salaries (HO OH)</t>
  </si>
  <si>
    <t>adminSalariesHOOH</t>
  </si>
  <si>
    <t>adminSalariesBaseHOOH * meritPctIncreaseHOOH</t>
  </si>
  <si>
    <t>1127_LABOR</t>
  </si>
  <si>
    <t>Admin Salaries Base (HO OH)</t>
  </si>
  <si>
    <t>adminSalariesBaseHOOH</t>
  </si>
  <si>
    <t>headcountAdminHOOH * salaryperHeadcountAdminHOOH * vacancyRateAdminHOOH</t>
  </si>
  <si>
    <t>1128_LABOR</t>
  </si>
  <si>
    <t>Headcount (Admin HO OH)</t>
  </si>
  <si>
    <t>headcountAdminHOOH</t>
  </si>
  <si>
    <t>adminSalariesBaseHOOH/(salaryperHeadcountAdminHOOH * vacancyRateAdminHOOH)</t>
  </si>
  <si>
    <t>1129_LABOR</t>
  </si>
  <si>
    <t>Salary per Headcount (Admin HO OH)</t>
  </si>
  <si>
    <t>salaryperHeadcountAdminHOOH</t>
  </si>
  <si>
    <t>adminSalariesBaseHOOH/(headcountAdminHOOH*vacancyRateAdminHOOH)</t>
  </si>
  <si>
    <t>1130_LABOR</t>
  </si>
  <si>
    <t>Vacancy Rate (Admin HO OH)</t>
  </si>
  <si>
    <t>vacancyRateAdminHOOH</t>
  </si>
  <si>
    <t>adminSalariesBaseHOOH/(headcountAdminHOOH * salaryperHeadcountAdminHOOH)</t>
  </si>
  <si>
    <t>1132_LABOR</t>
  </si>
  <si>
    <t>Product and Innovation Salaries (HO OH)</t>
  </si>
  <si>
    <t>productandInnovationSalariesHOOH</t>
  </si>
  <si>
    <t>productandInnovationSalariesBaseHOOH * meritPctIncreaseHOOH</t>
  </si>
  <si>
    <t>1133_LABOR</t>
  </si>
  <si>
    <t>Product and Innovation Salaries Base (HO OH)</t>
  </si>
  <si>
    <t>productandInnovationSalariesBaseHOOH</t>
  </si>
  <si>
    <t>headcountProductandInnovationHOOH * salaryperHeadcountProductandInnovationHOOH * vacancyRateProductandInnovationHOOH</t>
  </si>
  <si>
    <t>1134_LABOR</t>
  </si>
  <si>
    <t>Headcount (Product and Innovation HO OH)</t>
  </si>
  <si>
    <t>headcountProductandInnovationHOOH</t>
  </si>
  <si>
    <t>productandInnovationSalariesBaseHOOH/(salaryperHeadcountProductandInnovationHOOH * vacancyRateProductandInnovationHOOH)</t>
  </si>
  <si>
    <t>1135_LABOR</t>
  </si>
  <si>
    <t>Salary per Headcount (Product and Innovation HO OH)</t>
  </si>
  <si>
    <t>salaryperHeadcountProductandInnovationHOOH</t>
  </si>
  <si>
    <t>productandInnovationSalariesBaseHOOH/(headcountProductandInnovationHOOH*vacancyRateProductandInnovationHOOH)</t>
  </si>
  <si>
    <t>1136_LABOR</t>
  </si>
  <si>
    <t>Vacancy Rate (Product and Innovation HO OH)</t>
  </si>
  <si>
    <t>vacancyRateProductandInnovationHOOH</t>
  </si>
  <si>
    <t>productandInnovationSalariesBaseHOOH/(headcountProductandInnovationHOOH * salaryperHeadcountProductandInnovationHOOH)</t>
  </si>
  <si>
    <t>1138_LABOR</t>
  </si>
  <si>
    <t>HO Revenue Growth Salaries (HO OH)</t>
  </si>
  <si>
    <t>hORevenueGrowthSalariesHOOH</t>
  </si>
  <si>
    <t>wpMembershipSalariesHOOH + dataVenturesSalariesHOOH +  wMCSalariesHOOH +  revenueGrowthOtherHOOH</t>
  </si>
  <si>
    <t>1139_LABOR</t>
  </si>
  <si>
    <t>Wp Membership Salaries (HO OH)</t>
  </si>
  <si>
    <t>wpMembershipSalariesHOOH</t>
  </si>
  <si>
    <t>wpMembershipSalariesBaseHOOH * meritPctIncreaseHOOH</t>
  </si>
  <si>
    <t>1140_LABOR</t>
  </si>
  <si>
    <t>Wp Membership Salaries Base (HO OH)</t>
  </si>
  <si>
    <t>wpMembershipSalariesBaseHOOH</t>
  </si>
  <si>
    <t>headcountWpMembershipHOOH * salaryperHeadcountWpMembershipHOOH * vacancyRateWpMembershipHOOH</t>
  </si>
  <si>
    <t>1141_LABOR</t>
  </si>
  <si>
    <t>Headcount (Wp Membership HO OH)</t>
  </si>
  <si>
    <t>headcountWpMembershipHOOH</t>
  </si>
  <si>
    <t>wpMembershipSalariesBaseHOOH/(salaryperHeadcountWpMembershipHOOH * vacancyRateWpMembershipHOOH)</t>
  </si>
  <si>
    <t>1142_LABOR</t>
  </si>
  <si>
    <t>Salary per Headcount (Wp Membership HO OH)</t>
  </si>
  <si>
    <t>salaryperHeadcountWpMembershipHOOH</t>
  </si>
  <si>
    <t>wpMembershipSalariesBaseHOOH/(headcountWpMembershipHOOH*vacancyRateWpMembershipHOOH)</t>
  </si>
  <si>
    <t>1143_LABOR</t>
  </si>
  <si>
    <t>Vacancy Rate (Wp Membership HO OH)</t>
  </si>
  <si>
    <t>vacancyRateWpMembershipHOOH</t>
  </si>
  <si>
    <t>wpMembershipSalariesBaseHOOH/(headcountWpMembershipHOOH * salaryperHeadcountWpMembershipHOOH)</t>
  </si>
  <si>
    <t>1145_LABOR</t>
  </si>
  <si>
    <t>Data Ventures Salaries (HO OH)</t>
  </si>
  <si>
    <t>dataVenturesSalariesHOOH</t>
  </si>
  <si>
    <t>dataVenturesSalariesBaseHOOH * meritPctIncreaseHOOH</t>
  </si>
  <si>
    <t>1146_LABOR</t>
  </si>
  <si>
    <t>Data Ventures Salaries Base (HO OH)</t>
  </si>
  <si>
    <t>dataVenturesSalariesBaseHOOH</t>
  </si>
  <si>
    <t>headcountDataVenturesHOOH * salaryperHeadcountDataVenturesHOOH * vacancyRateDataVenturesHOOH</t>
  </si>
  <si>
    <t>1147_LABOR</t>
  </si>
  <si>
    <t>Headcount (Data Ventures HO OH)</t>
  </si>
  <si>
    <t>headcountDataVenturesHOOH</t>
  </si>
  <si>
    <t>dataVenturesSalariesBaseHOOH/(salaryperHeadcountDataVenturesHOOH * vacancyRateDataVenturesHOOH)</t>
  </si>
  <si>
    <t>1148_LABOR</t>
  </si>
  <si>
    <t>Salary per Headcount (Data Ventures HO OH)</t>
  </si>
  <si>
    <t>salaryperHeadcountDataVenturesHOOH</t>
  </si>
  <si>
    <t>dataVenturesSalariesBaseHOOH/(headcountDataVenturesHOOH*vacancyRateDataVenturesHOOH)</t>
  </si>
  <si>
    <t>1149_LABOR</t>
  </si>
  <si>
    <t>Vacancy Rate (Data Ventures HO OH)</t>
  </si>
  <si>
    <t>vacancyRateDataVenturesHOOH</t>
  </si>
  <si>
    <t>dataVenturesSalariesBaseHOOH/(headcountDataVenturesHOOH * salaryperHeadcountDataVenturesHOOH)</t>
  </si>
  <si>
    <t>1151_LABOR</t>
  </si>
  <si>
    <t>WMC Salaries (HO OH)</t>
  </si>
  <si>
    <t>wMCSalariesHOOH</t>
  </si>
  <si>
    <t>wMCSalariesBaseHOOH * meritPctIncreaseHOOH</t>
  </si>
  <si>
    <t>1152_LABOR</t>
  </si>
  <si>
    <t>WMC Salaries Base (HO OH)</t>
  </si>
  <si>
    <t>wMCSalariesBaseHOOH</t>
  </si>
  <si>
    <t>headcountWMCHOOH  * salaryperHeadcountWMCHOOH * vacancyRateWMCHOOH</t>
  </si>
  <si>
    <t>1153_LABOR</t>
  </si>
  <si>
    <t>Headcount (WMC HO OH)</t>
  </si>
  <si>
    <t>headcountWMCHOOH</t>
  </si>
  <si>
    <t>wMCSalariesBaseHOOH/(salaryperHeadcountWMCHOOH * vacancyRateWMCHOOH)</t>
  </si>
  <si>
    <t>1154_LABOR</t>
  </si>
  <si>
    <t>Salary per Headcount (WMC HO OH)</t>
  </si>
  <si>
    <t>salaryperHeadcountWMCHOOH</t>
  </si>
  <si>
    <t>wMCSalariesBaseHOOH/(headcountWMCHOOH*vacancyRateWMCHOOH)</t>
  </si>
  <si>
    <t>1155_LABOR</t>
  </si>
  <si>
    <t>Vacancy Rate (WMC HO OH)</t>
  </si>
  <si>
    <t>vacancyRateWMCHOOH</t>
  </si>
  <si>
    <t>wMCSalariesBaseHOOH/(headcountWMCHOOH  * salaryperHeadcountWMCHOOH)</t>
  </si>
  <si>
    <t>2054_LABOR</t>
  </si>
  <si>
    <t>Revenue Growth Other (HO OH)</t>
  </si>
  <si>
    <t>revenueGrowthOtherHOOH</t>
  </si>
  <si>
    <t>1157_LABOR</t>
  </si>
  <si>
    <t>Store 8 Salaries (HO OH)</t>
  </si>
  <si>
    <t>store8SalariesHOOH</t>
  </si>
  <si>
    <t>store8SalariesBaseHOOH *  meritPctIncreaseHOOH</t>
  </si>
  <si>
    <t>1158_LABOR</t>
  </si>
  <si>
    <t>Store 8 Salaries Base (HO OH)</t>
  </si>
  <si>
    <t>store8SalariesBaseHOOH</t>
  </si>
  <si>
    <t>headcountStore8HOOH * salaryperHeadcountStore8HOOH * vacancyRateStore8HOOH</t>
  </si>
  <si>
    <t>1159_LABOR</t>
  </si>
  <si>
    <t>Headcount (Store 8 HO OH)</t>
  </si>
  <si>
    <t>headcountStore8HOOH</t>
  </si>
  <si>
    <t>store8SalariesBaseHOOH/(salaryperHeadcountStore8HOOH * vacancyRateStore8HOOH)</t>
  </si>
  <si>
    <t>1160_LABOR</t>
  </si>
  <si>
    <t>Salary per Headcount (Store 8 HO OH)</t>
  </si>
  <si>
    <t>salaryperHeadcountStore8HOOH</t>
  </si>
  <si>
    <t>store8SalariesBaseHOOH/(headcountStore8HOOH*vacancyRateStore8HOOH)</t>
  </si>
  <si>
    <t>1161_LABOR</t>
  </si>
  <si>
    <t>Vacancy Rate (Store 8 HO OH)</t>
  </si>
  <si>
    <t>vacancyRateStore8HOOH</t>
  </si>
  <si>
    <t>store8SalariesBaseHOOH/(headcountStore8HOOH * salaryperHeadcountStore8HOOH)</t>
  </si>
  <si>
    <t>1163_LABOR</t>
  </si>
  <si>
    <t>Walmart One Salaries (HO OH)</t>
  </si>
  <si>
    <t>walmartOneSalariesHOOH</t>
  </si>
  <si>
    <t>walmartOneSalariesBaseHOOH * meritPctIncreaseHOOH</t>
  </si>
  <si>
    <t>1164_LABOR</t>
  </si>
  <si>
    <t>Walmart One Salaries Base (HO OH)</t>
  </si>
  <si>
    <t>walmartOneSalariesBaseHOOH</t>
  </si>
  <si>
    <t>headcountWalmartOneHOOH * salaryperHeadcountWalmartOneHOOH * vacancyRateWalmartOneHOOH</t>
  </si>
  <si>
    <t>1165_LABOR</t>
  </si>
  <si>
    <t>Headcount (Walmart One HO OH)</t>
  </si>
  <si>
    <t>headcountWalmartOneHOOH</t>
  </si>
  <si>
    <t>walmartOneSalariesBaseHOOH/ (salaryperHeadcountWalmartOneHOOH * vacancyRateWalmartOneHOOH)</t>
  </si>
  <si>
    <t>1166_LABOR</t>
  </si>
  <si>
    <t>Salary per Headcount (Walmart One HO OH)</t>
  </si>
  <si>
    <t>salaryperHeadcountWalmartOneHOOH</t>
  </si>
  <si>
    <t>walmartOneSalariesBaseHOOH/(headcountWalmartOneHOOH*vacancyRateWalmartOneHOOH)</t>
  </si>
  <si>
    <t>1167_LABOR</t>
  </si>
  <si>
    <t>Vacancy Rate (Walmart One HO OH)</t>
  </si>
  <si>
    <t>vacancyRateWalmartOneHOOH</t>
  </si>
  <si>
    <t>walmartOneSalariesBaseHOOH/(headcountWalmartOneHOOH * salaryperHeadcountWalmartOneHOOH)</t>
  </si>
  <si>
    <t>505_SGAA</t>
  </si>
  <si>
    <t>Other Salaries (non-driver based)</t>
  </si>
  <si>
    <t>otherSalariesnondriverbased</t>
  </si>
  <si>
    <t>500104_UFM</t>
  </si>
  <si>
    <t>[1.04] Holiday, Sick and Vacation Pay</t>
  </si>
  <si>
    <t>_104HolidaySickandVacationPay</t>
  </si>
  <si>
    <t>storePTO + handWPTO + supplyChainPTO + fuelPTO + homeOfficeOverheadPTO + otherPTOnondriverbased</t>
  </si>
  <si>
    <t>424_LABOR</t>
  </si>
  <si>
    <t>Store PTO</t>
  </si>
  <si>
    <t>storePTO</t>
  </si>
  <si>
    <t>pTOPctofWagesandOTStores * wagesandOTStores</t>
  </si>
  <si>
    <t>425_LABOR</t>
  </si>
  <si>
    <t>PTO % of Wages and OT (Stores)</t>
  </si>
  <si>
    <t>pTOPctofWagesandOTStores</t>
  </si>
  <si>
    <t>storePTO/wagesandOTStores</t>
  </si>
  <si>
    <t>3173_LABOR</t>
  </si>
  <si>
    <t>Wages and OT (Stores)</t>
  </si>
  <si>
    <t>wagesandOTStores</t>
  </si>
  <si>
    <t>storeWorkgroupWages -(overtimeWageExclusionAssumption * storeWorkgroupOvertime)</t>
  </si>
  <si>
    <t>hOSalariesOverhead103NodeSOTgrain/hOSalariesOverhead103NodeSOTmonth</t>
  </si>
  <si>
    <t>3095_LABOR</t>
  </si>
  <si>
    <t>H&amp;W PTO</t>
  </si>
  <si>
    <t>handWPTO</t>
  </si>
  <si>
    <t>pharmacyPTO + opticalPTO</t>
  </si>
  <si>
    <t>519_LABOR</t>
  </si>
  <si>
    <t>Pharmacy PTO</t>
  </si>
  <si>
    <t>pharmacyPTO</t>
  </si>
  <si>
    <t>pTOPctofWagesandOTPharmacy * wagesandOTPharmacy</t>
  </si>
  <si>
    <t>520_LABOR</t>
  </si>
  <si>
    <t>PTO % of Wages and OT (Pharmacy)</t>
  </si>
  <si>
    <t>pTOPctofWagesandOTPharmacy</t>
  </si>
  <si>
    <t>pharmacyPTO/wagesandOTPharmacy</t>
  </si>
  <si>
    <t>3096_LABOR</t>
  </si>
  <si>
    <t>Wages and OT (Pharmacy)</t>
  </si>
  <si>
    <t>wagesandOTPharmacy</t>
  </si>
  <si>
    <t>pharmacyStoreWages - ( pharmacyStoreOvertime * overtimeWageExclusionAssumption)</t>
  </si>
  <si>
    <t>659_LABOR</t>
  </si>
  <si>
    <t>Optical PTO</t>
  </si>
  <si>
    <t>opticalPTO</t>
  </si>
  <si>
    <t>3097_LABOR</t>
  </si>
  <si>
    <t>Supply Chain PTO</t>
  </si>
  <si>
    <t>supplyChainPTO</t>
  </si>
  <si>
    <t>supplyChain104ScalingNode * (corePTO+e2ePTO)</t>
  </si>
  <si>
    <t>3129_LABOR</t>
  </si>
  <si>
    <t>Supply Chain 1.04 Scaling Node</t>
  </si>
  <si>
    <t>supplyChain104ScalingNode</t>
  </si>
  <si>
    <t>supplyChain104NodeSOTgrain/supplyChain104NodeSOTmonthlocation</t>
  </si>
  <si>
    <t>3130_LABOR</t>
  </si>
  <si>
    <t>Supply Chain 1.04 Node SOT (month,location)</t>
  </si>
  <si>
    <t>supplyChain104NodeSOTmonthlocation</t>
  </si>
  <si>
    <t>{"node_x":["supplyChain104NodeSOTgrain"]}</t>
  </si>
  <si>
    <t>3131_LABOR</t>
  </si>
  <si>
    <t>Supply Chain 1.04 Node SOT (grain)</t>
  </si>
  <si>
    <t>supplyChain104NodeSOTgrain</t>
  </si>
  <si>
    <t>_104HolidaySickandVacationPaySOT</t>
  </si>
  <si>
    <t>6_SGAA</t>
  </si>
  <si>
    <t>[1.04] Holiday Sick and Vacation Pay SOT</t>
  </si>
  <si>
    <t>3103_LABOR</t>
  </si>
  <si>
    <t>Core PTO</t>
  </si>
  <si>
    <t>corePTO</t>
  </si>
  <si>
    <t>{"node_x":["scwageLaborPTO"]}</t>
  </si>
  <si>
    <t>3104_LABOR</t>
  </si>
  <si>
    <t>E2E PTO</t>
  </si>
  <si>
    <t>e2EPTO</t>
  </si>
  <si>
    <t>{"node_x":["e2EPTOmonthlocation"]}</t>
  </si>
  <si>
    <t>4006_LABOR</t>
  </si>
  <si>
    <t>E2E PTO (month, location)</t>
  </si>
  <si>
    <t>e2EPTOmonthlocation</t>
  </si>
  <si>
    <t>WMT_US_SUPPLY_CHAIN_TOTAL_SGA</t>
  </si>
  <si>
    <t>scpTOandOther</t>
  </si>
  <si>
    <t>969_LABOR</t>
  </si>
  <si>
    <t>Fuel PTO</t>
  </si>
  <si>
    <t>fuelPTO</t>
  </si>
  <si>
    <t>pTOPctofWagesandOTFuel * wagesandOTFuel</t>
  </si>
  <si>
    <t>970_LABOR</t>
  </si>
  <si>
    <t>PTO % of Wages and OT (Fuel)</t>
  </si>
  <si>
    <t>pTOPctofWagesandOTFuel</t>
  </si>
  <si>
    <t>fuelPTO/wagesandOTFuel</t>
  </si>
  <si>
    <t>3099_LABOR</t>
  </si>
  <si>
    <t>Wages and OT (Fuel)</t>
  </si>
  <si>
    <t>wagesandOTFuel</t>
  </si>
  <si>
    <t>fuelWages - (fuelOvertime*overtimeWageExclusionAssumption)</t>
  </si>
  <si>
    <t>1860_LABOR</t>
  </si>
  <si>
    <t>Home Office Overhead PTO</t>
  </si>
  <si>
    <t>homeOfficeOverheadPTO</t>
  </si>
  <si>
    <t>pTOexpensePctofsalariesHomeOfficeOverheads * homeOfficeOverheadSalaries</t>
  </si>
  <si>
    <t>1861_LABOR</t>
  </si>
  <si>
    <t>PTO expense % of salaries (Home Office Overheads)</t>
  </si>
  <si>
    <t>pTOexpensePctofsalariesHomeOfficeOverheads</t>
  </si>
  <si>
    <t>606_SGAA</t>
  </si>
  <si>
    <t>Other PTO (non-driver based)</t>
  </si>
  <si>
    <t>otherPTOnondriverbased</t>
  </si>
  <si>
    <t>500105_UFM</t>
  </si>
  <si>
    <t>[1.05] Temporary Labor - Wages</t>
  </si>
  <si>
    <t>_105TemporaryLaborWages</t>
  </si>
  <si>
    <t>storeTempLabor + handWTempLabor + fuelTempLabor + supplyChainTempLabor + homeOfficeOverheadTempLabor + otherTempLabornondriverbased</t>
  </si>
  <si>
    <t>460_LABOR</t>
  </si>
  <si>
    <t>Store Temp Labor</t>
  </si>
  <si>
    <t>storeTempLabor</t>
  </si>
  <si>
    <t>tempLaborPctofWagesandOTStores * wagesandOTStores</t>
  </si>
  <si>
    <t>428_LABOR</t>
  </si>
  <si>
    <t>Temp Labor % of Wages and OT (Stores)</t>
  </si>
  <si>
    <t>tempLaborPctofWagesandOTStores</t>
  </si>
  <si>
    <t>storeTempLabor/wagesandOTStores</t>
  </si>
  <si>
    <t>3101_LABOR</t>
  </si>
  <si>
    <t>H&amp;W Temp Labor</t>
  </si>
  <si>
    <t>handWTempLabor</t>
  </si>
  <si>
    <t>pharmacyTempLabor + opticalPTO</t>
  </si>
  <si>
    <t>523_LABOR</t>
  </si>
  <si>
    <t>Pharmacy Temp Labor</t>
  </si>
  <si>
    <t>pharmacyTempLabor</t>
  </si>
  <si>
    <t>tempLaborPctofWagesandOTPharmacy * wagesandOTPharmacy</t>
  </si>
  <si>
    <t>524_LABOR</t>
  </si>
  <si>
    <t>Temp Labor % of Wages and OT (Pharmacy)</t>
  </si>
  <si>
    <t>tempLaborPctofWagesandOTPharmacy</t>
  </si>
  <si>
    <t>pharmacyTempLabor/wagesandOTPharmacy</t>
  </si>
  <si>
    <t>973_LABOR</t>
  </si>
  <si>
    <t>Fuel Temp Labor</t>
  </si>
  <si>
    <t>fuelTempLabor</t>
  </si>
  <si>
    <t>tempLaborPctofWagesandOTFuel * wagesandOTFuel</t>
  </si>
  <si>
    <t>974_LABOR</t>
  </si>
  <si>
    <t>Temp Labor % of Wages and OT (Fuel)</t>
  </si>
  <si>
    <t>tempLaborPctofWagesandOTFuel</t>
  </si>
  <si>
    <t>fuelTempLabor/wagesandOTFuel</t>
  </si>
  <si>
    <t>3102_LABOR</t>
  </si>
  <si>
    <t>Supply Chain Temp Labor</t>
  </si>
  <si>
    <t>supplyChainTempLabor</t>
  </si>
  <si>
    <t>supplyChain105ScalingNode * coreTempLabor</t>
  </si>
  <si>
    <t>3132_LABOR</t>
  </si>
  <si>
    <t>Supply Chain 1.05 Scaling Node</t>
  </si>
  <si>
    <t>supplyChain105ScalingNode</t>
  </si>
  <si>
    <t>supplyChain105NodeSOTgrain/supplyChain105NodeSOTmonthlocation</t>
  </si>
  <si>
    <t>3133_LABOR</t>
  </si>
  <si>
    <t>Supply Chain 1.05 Node SOT (month,location)</t>
  </si>
  <si>
    <t>supplyChain105NodeSOTmonthlocation</t>
  </si>
  <si>
    <t>{"node_x":["supplyChain105NodeSOTgrain"]}</t>
  </si>
  <si>
    <t>3134_LABOR</t>
  </si>
  <si>
    <t>Supply Chain 1.05 Node SOT (grain)</t>
  </si>
  <si>
    <t>supplyChain105NodeSOTgrain</t>
  </si>
  <si>
    <t>_105TemporaryLaborWagesSOT</t>
  </si>
  <si>
    <t>7_SGAA</t>
  </si>
  <si>
    <t>[1.05] Temporary Labor - Wages SOT</t>
  </si>
  <si>
    <t>3106_LABOR</t>
  </si>
  <si>
    <t>Core Temp Labor</t>
  </si>
  <si>
    <t>coreTempLabor</t>
  </si>
  <si>
    <t>{"node_x":["sctempLabor"]}</t>
  </si>
  <si>
    <t>1862_LABOR</t>
  </si>
  <si>
    <t>Home Office Overhead Temp Labor</t>
  </si>
  <si>
    <t>homeOfficeOverheadTempLabor</t>
  </si>
  <si>
    <t>tempLaborexpensePctofsalariesHomeOfficeOverheads * homeOfficeOverheadSalaries</t>
  </si>
  <si>
    <t>1863_LABOR</t>
  </si>
  <si>
    <t>Temp Labor expense % of salaries (Home Office Overheads)</t>
  </si>
  <si>
    <t>tempLaborexpensePctofsalariesHomeOfficeOverheads</t>
  </si>
  <si>
    <t>707_SGAA</t>
  </si>
  <si>
    <t>Other Temp Labor (non-driver based)</t>
  </si>
  <si>
    <t>otherTempLabornondriverbased</t>
  </si>
  <si>
    <t>500107_UFM</t>
  </si>
  <si>
    <t>[1.07] IT App Dev and Systems Integration</t>
  </si>
  <si>
    <t>_107ITAppDevandSystemsIntegration</t>
  </si>
  <si>
    <t>otherITAppDevnondriverbased</t>
  </si>
  <si>
    <t>8_SGAA</t>
  </si>
  <si>
    <t>Other IT App Dev (non-driver based)</t>
  </si>
  <si>
    <t>500108_UFM</t>
  </si>
  <si>
    <t>[1.08] Remodel Wage Expense</t>
  </si>
  <si>
    <t>_108RemodelWageExpense</t>
  </si>
  <si>
    <t>storeRemodel3PSWOT + otherLaborRemodelWageExpensenondriverbased</t>
  </si>
  <si>
    <t>2021_LABOR</t>
  </si>
  <si>
    <t>Store Remodel (3P SWOT)</t>
  </si>
  <si>
    <t>storeRemodel3PSWOT</t>
  </si>
  <si>
    <t>1015_SBA</t>
  </si>
  <si>
    <t>REAL ESTATE</t>
  </si>
  <si>
    <t>9_SGAA</t>
  </si>
  <si>
    <t>Other Labor Remodel Wage Expense (non-driver based)</t>
  </si>
  <si>
    <t>otherLaborRemodelWageExpensenondriverbased</t>
  </si>
  <si>
    <t>500109_UFM</t>
  </si>
  <si>
    <t>[1.09] Assembly Services</t>
  </si>
  <si>
    <t>_109AssemblyServices</t>
  </si>
  <si>
    <t>storeAssemblyServices + otherAssemblyServicesnondriverbased</t>
  </si>
  <si>
    <t>3108_LABOR</t>
  </si>
  <si>
    <t>Store Assembly Services</t>
  </si>
  <si>
    <t>storeAssemblyServices</t>
  </si>
  <si>
    <t>assemblyServicesPctofWagesandOTStores * wagesandOTStores</t>
  </si>
  <si>
    <t>3107_LABOR</t>
  </si>
  <si>
    <t>Assembly Services % of Wages and OT (Stores)</t>
  </si>
  <si>
    <t>assemblyServicesPctofWagesandOTStores</t>
  </si>
  <si>
    <t>storeAssemblyServices/assemblyServicesPctofWagesandOTStores</t>
  </si>
  <si>
    <t>10_SGAA</t>
  </si>
  <si>
    <t>Other Assembly Services (non-driver based)</t>
  </si>
  <si>
    <t>otherAssemblyServicesnondriverbased</t>
  </si>
  <si>
    <t>500110_UFM</t>
  </si>
  <si>
    <t>[1.10] Payroll Taxes</t>
  </si>
  <si>
    <t>_110PayrollTaxes</t>
  </si>
  <si>
    <t>storePayrollTaxes + handWPayrollTaxes + fuelPayrollTax + supplyChainPayrollTax + homeOfficeOverheadPayrollTaxesLabor + otherPayrollTaxesnondriverbased</t>
  </si>
  <si>
    <t>449_LABOR</t>
  </si>
  <si>
    <t>Store Payroll Taxes</t>
  </si>
  <si>
    <t>storePayrollTaxes</t>
  </si>
  <si>
    <t>payrollTaxPctofWagesOTPTOandSalariesStores * wagesOTSalariesPTOStores</t>
  </si>
  <si>
    <t>450_LABOR</t>
  </si>
  <si>
    <t>Payroll Tax % of Wages, OT, PTO, and Salaries (Stores)</t>
  </si>
  <si>
    <t>payrollTaxPctofWagesOTPTOandSalariesStores</t>
  </si>
  <si>
    <t>storePayrollTaxes/wagesOTSalariesPTOStores</t>
  </si>
  <si>
    <t>3109_LABOR</t>
  </si>
  <si>
    <t>Wages, OT, Salaries, PTO (Stores)</t>
  </si>
  <si>
    <t>wagesOTSalariesPTOStores</t>
  </si>
  <si>
    <t>storeWorkgroupWages + storeWorkgroupOvertime + storeSalaries + storePTO</t>
  </si>
  <si>
    <t>3110_LABOR</t>
  </si>
  <si>
    <t>H&amp;W Payroll Taxes</t>
  </si>
  <si>
    <t>handWPayrollTaxes</t>
  </si>
  <si>
    <t>pharmacyPayrollTaxes + opticalPayrollTax</t>
  </si>
  <si>
    <t>537_LABOR</t>
  </si>
  <si>
    <t>Pharmacy Payroll Taxes</t>
  </si>
  <si>
    <t>pharmacyPayrollTaxes</t>
  </si>
  <si>
    <t>payrollTaxesPctofWagesOTandSalariesPharmacy * wagesOTandSalariesPharmacy</t>
  </si>
  <si>
    <t>539_LABOR</t>
  </si>
  <si>
    <t>Payroll Taxes % of Wages, OT, and Salaries (Pharmacy)</t>
  </si>
  <si>
    <t>payrollTaxesPctofWagesOTandSalariesPharmacy</t>
  </si>
  <si>
    <t>pharmacyPayrollTaxes/ wagesOTandSalariesPharmacy</t>
  </si>
  <si>
    <t>3111_LABOR</t>
  </si>
  <si>
    <t>Wages, OT, and Salaries (Pharmacy)</t>
  </si>
  <si>
    <t>wagesOTandSalariesPharmacy</t>
  </si>
  <si>
    <t>pharmacyStoreWages + pharmacyStoreOvertime + pharmacySalaries</t>
  </si>
  <si>
    <t>672_LABOR</t>
  </si>
  <si>
    <t>Optical Payroll Tax</t>
  </si>
  <si>
    <t>opticalPayrollTax</t>
  </si>
  <si>
    <t>981_LABOR</t>
  </si>
  <si>
    <t>Fuel Payroll Tax</t>
  </si>
  <si>
    <t>fuelPayrollTax</t>
  </si>
  <si>
    <t>payrollTaxPctofWagesandOTFuel * wagesOTandSalariesFuel</t>
  </si>
  <si>
    <t>983_LABOR</t>
  </si>
  <si>
    <t>Payroll Tax % of Wages and OT (Fuel)</t>
  </si>
  <si>
    <t>payrollTaxPctofWagesandOTFuel</t>
  </si>
  <si>
    <t>fuelPayrollTax/payrollTaxPctofWagesandOTFuel</t>
  </si>
  <si>
    <t>3112_LABOR</t>
  </si>
  <si>
    <t>Wages, OT, and Salaries (Fuel)</t>
  </si>
  <si>
    <t>wagesOTandSalariesFuel</t>
  </si>
  <si>
    <t>fuelWages + fuelOvertime + fuelSalaries</t>
  </si>
  <si>
    <t>3113_LABOR</t>
  </si>
  <si>
    <t>Supply Chain Payroll Tax</t>
  </si>
  <si>
    <t>supplyChainPayrollTax</t>
  </si>
  <si>
    <t>(corePayrollTax + e2EPayrollTax) * supplyChain110ScalingNode</t>
  </si>
  <si>
    <t>3135_LABOR</t>
  </si>
  <si>
    <t>Supply Chain 1.10 Scaling Node</t>
  </si>
  <si>
    <t>supplyChain110ScalingNode</t>
  </si>
  <si>
    <t>supplyChain110NodeSOTgrain/supplyChain110NodeSOTmonthlocation</t>
  </si>
  <si>
    <t>3136_LABOR</t>
  </si>
  <si>
    <t>Supply Chain 1.10 Node SOT (month,location)</t>
  </si>
  <si>
    <t>supplyChain110NodeSOTmonthlocation</t>
  </si>
  <si>
    <t>{"node_x":["supplyChain110NodeSOTgrain"]}</t>
  </si>
  <si>
    <t>3137_LABOR</t>
  </si>
  <si>
    <t>Supply Chain 1.10 Node SOT (grain)</t>
  </si>
  <si>
    <t>supplyChain110NodeSOTgrain</t>
  </si>
  <si>
    <t>_110PayrollTaxesSOT</t>
  </si>
  <si>
    <t>11_SGAA</t>
  </si>
  <si>
    <t>[1.10] Payroll Taxes SOT</t>
  </si>
  <si>
    <t>3114_LABOR</t>
  </si>
  <si>
    <t>Core Payroll Tax</t>
  </si>
  <si>
    <t>corePayrollTax</t>
  </si>
  <si>
    <t>{"node_x":["sctotalPayrollTax"]}</t>
  </si>
  <si>
    <t>3115_LABOR</t>
  </si>
  <si>
    <t>E2E Payroll Tax</t>
  </si>
  <si>
    <t>e2EPayrollTax</t>
  </si>
  <si>
    <t>{"node_x":["e2EPayrollTaxmonthlocation"]}</t>
  </si>
  <si>
    <t>4008_LABOR</t>
  </si>
  <si>
    <t>E2E Payroll Tax (month, location)</t>
  </si>
  <si>
    <t>e2EPayrollTaxmonthlocation</t>
  </si>
  <si>
    <t>scpayrollTaxes</t>
  </si>
  <si>
    <t>1175_LABOR</t>
  </si>
  <si>
    <t>Home Office Overhead Payroll Taxes Labor</t>
  </si>
  <si>
    <t>homeOfficeOverheadPayrollTaxesLabor</t>
  </si>
  <si>
    <t>payrollTaxesPctofWagesOTPTOandSalariesHOOH *  wagesOTSalariesPTOHOOH</t>
  </si>
  <si>
    <t>1176_LABOR</t>
  </si>
  <si>
    <t>Payroll Taxes % of Wages, OT, PTO, and Salaries (HO OH)</t>
  </si>
  <si>
    <t>payrollTaxesPctofWagesOTPTOandSalariesHOOH</t>
  </si>
  <si>
    <t>homeOfficeOverheadPayrollTaxesLabor/wagesOTSalariesPTOHOOH</t>
  </si>
  <si>
    <t>3117_LABOR</t>
  </si>
  <si>
    <t>Wages, OT, Salaries, PTO (HO OH)</t>
  </si>
  <si>
    <t>wagesOTSalariesPTOHOOH</t>
  </si>
  <si>
    <t>homeOfficeOverheadWages+  homeOfficeOverheadOvertime +  homeOfficeOverheadSalaries +  homeOfficeOverheadPTO</t>
  </si>
  <si>
    <t>1111_SGAA</t>
  </si>
  <si>
    <t>Other Payroll Taxes (non-driver based)</t>
  </si>
  <si>
    <t>otherPayrollTaxesnondriverbased</t>
  </si>
  <si>
    <t>500111_UFM</t>
  </si>
  <si>
    <t>[1.11] Severance/Outplacement</t>
  </si>
  <si>
    <t>_111SeveranceOutplacement</t>
  </si>
  <si>
    <t>storeSeverance + handWSeverance + fuelSeverance +  homeOfficeOverheadSeverance +  otherSeverancenondriverbased</t>
  </si>
  <si>
    <t>454_LABOR</t>
  </si>
  <si>
    <t>Store Severance</t>
  </si>
  <si>
    <t>storeSeverance</t>
  </si>
  <si>
    <t>severancePctofSalariesStores *  storeSalaries</t>
  </si>
  <si>
    <t>455_LABOR</t>
  </si>
  <si>
    <t>Severance % of Salaries (Stores)</t>
  </si>
  <si>
    <t>severancePctofSalariesStores</t>
  </si>
  <si>
    <t>storeSeverance/storeSalaries</t>
  </si>
  <si>
    <t>3118_LABOR</t>
  </si>
  <si>
    <t>H&amp;W Severance</t>
  </si>
  <si>
    <t>handWSeverance</t>
  </si>
  <si>
    <t>pharmacySeverance + opticalSeverance</t>
  </si>
  <si>
    <t>546_LABOR</t>
  </si>
  <si>
    <t>Pharmacy Severance</t>
  </si>
  <si>
    <t>pharmacySeverance</t>
  </si>
  <si>
    <t>severancePctofWagesOTandSalariesPharmacy * pharmacySalaries</t>
  </si>
  <si>
    <t>547_LABOR</t>
  </si>
  <si>
    <t>Severance % of Wages, OT, and Salaries (Pharmacy)</t>
  </si>
  <si>
    <t>severancePctofWagesOTandSalariesPharmacy</t>
  </si>
  <si>
    <t>pharmacySeverance/ pharmacySalaries</t>
  </si>
  <si>
    <t>681_LABOR</t>
  </si>
  <si>
    <t>Optical Severance</t>
  </si>
  <si>
    <t>opticalSeverance</t>
  </si>
  <si>
    <t>979_LABOR</t>
  </si>
  <si>
    <t>Fuel Severance</t>
  </si>
  <si>
    <t>fuelSeverance</t>
  </si>
  <si>
    <t>severancePctofWagesandOTFuel * fuelSalaries</t>
  </si>
  <si>
    <t>980_LABOR</t>
  </si>
  <si>
    <t>Severance % of Wages and OT (Fuel)</t>
  </si>
  <si>
    <t>severancePctofWagesandOTFuel</t>
  </si>
  <si>
    <t>fuelSeverance/fuelSalaries</t>
  </si>
  <si>
    <t>1181_LABOR</t>
  </si>
  <si>
    <t>Home Office Overhead Severance</t>
  </si>
  <si>
    <t>homeOfficeOverheadSeverance</t>
  </si>
  <si>
    <t>severanceexpensePctofsalariesHomeOfficeOverheads * homeOfficeOverheadSalaries</t>
  </si>
  <si>
    <t>1182_LABOR</t>
  </si>
  <si>
    <t>Severance expense % of salaries (Home Office Overheads)</t>
  </si>
  <si>
    <t>severanceexpensePctofsalariesHomeOfficeOverheads</t>
  </si>
  <si>
    <t>12_SGAA</t>
  </si>
  <si>
    <t>Other Severance (non-driver based)</t>
  </si>
  <si>
    <t>otherSeverancenondriverbased</t>
  </si>
  <si>
    <t>500112_UFM</t>
  </si>
  <si>
    <t>[1.12] Relocation/Expatriate Allowances/Immigration</t>
  </si>
  <si>
    <t>_112RelocationExpatriateAllowancesImmigration</t>
  </si>
  <si>
    <t>storeRelocation + handWRelocation + fuelRelocation + homeOfficeOverheadRelocation + otherRelocationnondriverbased</t>
  </si>
  <si>
    <t>452_LABOR</t>
  </si>
  <si>
    <t>Store Relocation</t>
  </si>
  <si>
    <t>storeRelocation</t>
  </si>
  <si>
    <t>relocationPctofSalariesStores * storeSalaries</t>
  </si>
  <si>
    <t>453_LABOR</t>
  </si>
  <si>
    <t>Relocation % of Salaries (Stores)</t>
  </si>
  <si>
    <t>relocationPctofSalariesStores</t>
  </si>
  <si>
    <t>storeRelocation/storeSalaries</t>
  </si>
  <si>
    <t>3119_LABOR</t>
  </si>
  <si>
    <t>H&amp;W Relocation</t>
  </si>
  <si>
    <t>handWRelocation</t>
  </si>
  <si>
    <t>pharmacyRelocation + opticalRelocation</t>
  </si>
  <si>
    <t>544_LABOR</t>
  </si>
  <si>
    <t>Pharmacy Relocation</t>
  </si>
  <si>
    <t>pharmacyRelocation</t>
  </si>
  <si>
    <t>relocationPctofWagesOTandSalariesPharmacy * pharmacySalaries</t>
  </si>
  <si>
    <t>545_LABOR</t>
  </si>
  <si>
    <t>Relocation % of Wages, OT, and Salaries (Pharmacy)</t>
  </si>
  <si>
    <t>relocationPctofWagesOTandSalariesPharmacy</t>
  </si>
  <si>
    <t>pharmacyRelocation/pharmacySalaries</t>
  </si>
  <si>
    <t>679_LABOR</t>
  </si>
  <si>
    <t>Optical Relocation</t>
  </si>
  <si>
    <t>opticalRelocation</t>
  </si>
  <si>
    <t>976_LABOR</t>
  </si>
  <si>
    <t>Fuel Relocation</t>
  </si>
  <si>
    <t>fuelRelocation</t>
  </si>
  <si>
    <t>relocationPctofWagesandOTFuel * fuelSalaries</t>
  </si>
  <si>
    <t>977_LABOR</t>
  </si>
  <si>
    <t>Relocation % of Wages and OT (Fuel)</t>
  </si>
  <si>
    <t>relocationPctofWagesandOTFuel</t>
  </si>
  <si>
    <t>fuelRelocation/fuelSalaries</t>
  </si>
  <si>
    <t>1178_LABOR</t>
  </si>
  <si>
    <t>Home Office Overhead Relocation</t>
  </si>
  <si>
    <t>homeOfficeOverheadRelocation</t>
  </si>
  <si>
    <t>relocationexpensePctofsalariesHomeOfficeOverheads * homeOfficeOverheadSalaries</t>
  </si>
  <si>
    <t>1179_LABOR</t>
  </si>
  <si>
    <t>Relocation expense % of salaries (Home Office Overheads)</t>
  </si>
  <si>
    <t>relocationexpensePctofsalariesHomeOfficeOverheads</t>
  </si>
  <si>
    <t>13_SGAA</t>
  </si>
  <si>
    <t>Other Relocation (non-driver based)</t>
  </si>
  <si>
    <t>otherRelocationnondriverbased</t>
  </si>
  <si>
    <t>500113_UFM</t>
  </si>
  <si>
    <t>[1.13] Sweep</t>
  </si>
  <si>
    <t>_113Sweep</t>
  </si>
  <si>
    <t>otherSweepnondriverbased</t>
  </si>
  <si>
    <t>14_SGAA</t>
  </si>
  <si>
    <t>Other Sweep (non-driver based)</t>
  </si>
  <si>
    <t>500114_UFM</t>
  </si>
  <si>
    <t>[1.14] Sweep - Capitalized External Labor</t>
  </si>
  <si>
    <t>_114SweepCapitalizedExternalLabor</t>
  </si>
  <si>
    <t>otherSweepCapitalizedExternalLabornondriverbased</t>
  </si>
  <si>
    <t>15_SGAA</t>
  </si>
  <si>
    <t>Other Sweep-Capitalized External Labor (non-driver based)</t>
  </si>
  <si>
    <t>500115_UFM</t>
  </si>
  <si>
    <t>Vacancy Adj</t>
  </si>
  <si>
    <t>vacancyAdj</t>
  </si>
  <si>
    <t>otherVacancyAdjnondriverbased</t>
  </si>
  <si>
    <t>253_SGAA</t>
  </si>
  <si>
    <t>Other Vacancy Adj (non-driver based)</t>
  </si>
  <si>
    <t>5001_LABOR</t>
  </si>
  <si>
    <t>Default Creep (Digital)</t>
  </si>
  <si>
    <t>defaultCreepDigital</t>
  </si>
  <si>
    <t>func10</t>
  </si>
  <si>
    <t>5002_LABOR</t>
  </si>
  <si>
    <t>Input Creep (Digital)</t>
  </si>
  <si>
    <t>inputCreepDigital</t>
  </si>
  <si>
    <t>5003_LABOR</t>
  </si>
  <si>
    <t>Creep (Digital)</t>
  </si>
  <si>
    <t>creepDigital</t>
  </si>
  <si>
    <t>defaultCreepDigital+inputCreepDigital</t>
  </si>
  <si>
    <t>5004_LABOR</t>
  </si>
  <si>
    <t>Units (reporting grain)</t>
  </si>
  <si>
    <t>scannedUnitsIBGDemand * demandScalingNodereportinggrain</t>
  </si>
  <si>
    <t>290_MR</t>
  </si>
  <si>
    <t>M&amp;R Plug</t>
  </si>
  <si>
    <t>mandRPlug</t>
  </si>
  <si>
    <t>sOT07MandR + (mandRCostCalculated*0)</t>
  </si>
  <si>
    <t>2000_MR</t>
  </si>
  <si>
    <t>M&amp;R Cost Calculated</t>
  </si>
  <si>
    <t>mandRCostCalculated</t>
  </si>
  <si>
    <t>storeOperationsMandRCost + supplyChainMandR + eCommMandR +  homeOfficeMandR + manufacturingMandR + otherHandWMandR</t>
  </si>
  <si>
    <t>1215_MR</t>
  </si>
  <si>
    <t>Store Operations M&amp;R Cost</t>
  </si>
  <si>
    <t>storeOperationsMandRCost</t>
  </si>
  <si>
    <t>mandRInflation * uninflatedMandRCostStoreOps</t>
  </si>
  <si>
    <t>1228_MR</t>
  </si>
  <si>
    <t>M&amp;R Inflation</t>
  </si>
  <si>
    <t>mandRInflation</t>
  </si>
  <si>
    <t>storeOperationsMandRCost/uninflatedMandRCostStoreOps</t>
  </si>
  <si>
    <t>1229_MR</t>
  </si>
  <si>
    <t>Uninflated M&amp;R Cost (Store Ops)</t>
  </si>
  <si>
    <t>uninflatedMandRCostStoreOps</t>
  </si>
  <si>
    <t>mandRCostMonth * mandRScalingFactorOperations</t>
  </si>
  <si>
    <t>1207_MR</t>
  </si>
  <si>
    <t>M&amp;R Cost (Month)</t>
  </si>
  <si>
    <t>mandRCostMonth</t>
  </si>
  <si>
    <t>{"node_x":["mandRCostBusinessArea"]}</t>
  </si>
  <si>
    <t>1239_MR</t>
  </si>
  <si>
    <t>M&amp;R Cost (Business Area)</t>
  </si>
  <si>
    <t>mandRCostBusinessArea</t>
  </si>
  <si>
    <t>insourcing + outsourcing + otherBusinessAreaMandRCost + puertoRicoStoreOpsMandRCost</t>
  </si>
  <si>
    <t>1080_MR</t>
  </si>
  <si>
    <t>Insourcing</t>
  </si>
  <si>
    <t>insourcing</t>
  </si>
  <si>
    <t>insourcingPM + insourcingRM + insourcingScheduled + insourcingUndefined</t>
  </si>
  <si>
    <t>1081_MR</t>
  </si>
  <si>
    <t>Insourcing PM</t>
  </si>
  <si>
    <t>insourcingPM</t>
  </si>
  <si>
    <t>techAllocationInsourcingPM + sDIPartsCostInsourcingPM</t>
  </si>
  <si>
    <t>1082_MR</t>
  </si>
  <si>
    <t>Tech Allocation - Insourcing PM</t>
  </si>
  <si>
    <t>techAllocationInsourcingPM</t>
  </si>
  <si>
    <t>techAllocationCostperWorkOrderInsourcingPM * workOrdersInsourcingPM</t>
  </si>
  <si>
    <t>1087_MR</t>
  </si>
  <si>
    <t>Tech Allocation Cost per Work Order - Insourcing PM</t>
  </si>
  <si>
    <t>techAllocationCostperWorkOrderInsourcingPM</t>
  </si>
  <si>
    <t>techAllocationInsourcingPM/workOrdersInsourcingPM</t>
  </si>
  <si>
    <t>1089_MR</t>
  </si>
  <si>
    <t>Work Orders - Insourcing PM</t>
  </si>
  <si>
    <t>workOrdersInsourcingPM</t>
  </si>
  <si>
    <t>insourcingRatePct * pMRatePctInsourcing * totalWorkOrders</t>
  </si>
  <si>
    <t>1084_MR</t>
  </si>
  <si>
    <t>Insourcing Rate %</t>
  </si>
  <si>
    <t>insourcingRatePct</t>
  </si>
  <si>
    <t>workOrdersInsourcingPM/ (pMRatePctInsourcing * totalWorkOrders)</t>
  </si>
  <si>
    <t>1085_MR</t>
  </si>
  <si>
    <t>PM Rate % - Insourcing</t>
  </si>
  <si>
    <t>pMRatePctInsourcing</t>
  </si>
  <si>
    <t>workOrdersInsourcingPM/ (insourcingRatePct * totalWorkOrders)</t>
  </si>
  <si>
    <t>1086_MR</t>
  </si>
  <si>
    <t>Total Work Orders</t>
  </si>
  <si>
    <t>totalWorkOrders</t>
  </si>
  <si>
    <t>workOrdersInsourcingPM/ (insourcingRatePct * pMRatePctInsourcing)</t>
  </si>
  <si>
    <t>1088_MR</t>
  </si>
  <si>
    <t>SDI Parts Cost - Insourcing PM</t>
  </si>
  <si>
    <t>sDIPartsCostInsourcingPM</t>
  </si>
  <si>
    <t>sDIPartsCostperWorkOrderInsourcingPM * sDIPartsPctofWorkOrdersInsourcingPM</t>
  </si>
  <si>
    <t>1091_MR</t>
  </si>
  <si>
    <t>SDI Parts Cost per Work Order - Insourcing PM</t>
  </si>
  <si>
    <t>sDIPartsCostperWorkOrderInsourcingPM</t>
  </si>
  <si>
    <t>sDIPartsCostInsourcingPM/sDIPartsPctofWorkOrdersInsourcingPM</t>
  </si>
  <si>
    <t>1090_MR</t>
  </si>
  <si>
    <t>SDI Parts % of Work Orders - Insourcing PM</t>
  </si>
  <si>
    <t>sDIPartsPctofWorkOrdersInsourcingPM</t>
  </si>
  <si>
    <t>sDIPartsCostInsourcingPM/sDIPartsCostperWorkOrderInsourcingPM</t>
  </si>
  <si>
    <t>1092_MR</t>
  </si>
  <si>
    <t>Insourcing RM</t>
  </si>
  <si>
    <t>insourcingRM</t>
  </si>
  <si>
    <t>techAllocationInsourcingRM + sDIPartsCostInsourcingRM</t>
  </si>
  <si>
    <t>1093_MR</t>
  </si>
  <si>
    <t>Tech Allocation - Insourcing RM</t>
  </si>
  <si>
    <t>techAllocationInsourcingRM</t>
  </si>
  <si>
    <t>techAllocationCostperWorkOrderInsourcingRM * workOrdersInsourcingRM</t>
  </si>
  <si>
    <t>1094_MR</t>
  </si>
  <si>
    <t>Work Orders - Insourcing RM</t>
  </si>
  <si>
    <t>workOrdersInsourcingRM</t>
  </si>
  <si>
    <t>insourcingRatePct  * rMRatePctInsourcing * totalWorkOrders</t>
  </si>
  <si>
    <t>1096_MR</t>
  </si>
  <si>
    <t>Tech Allocation Cost per Work Order - Insourcing RM</t>
  </si>
  <si>
    <t>techAllocationCostperWorkOrderInsourcingRM</t>
  </si>
  <si>
    <t>techAllocationInsourcingRM/workOrdersInsourcingRM</t>
  </si>
  <si>
    <t>1095_MR</t>
  </si>
  <si>
    <t>RM Rate % - Insourcing</t>
  </si>
  <si>
    <t>rMRatePctInsourcing</t>
  </si>
  <si>
    <t>workOrdersInsourcingRM / (insourcingRatePct * totalWorkOrders)</t>
  </si>
  <si>
    <t>1097_MR</t>
  </si>
  <si>
    <t>SDI Parts Cost - Insourcing RM</t>
  </si>
  <si>
    <t>sDIPartsCostInsourcingRM</t>
  </si>
  <si>
    <t>sDIPartsCostperWorkOrderInsourcingRM * sDIPartsPctofWorkOrdersInsourcingRM</t>
  </si>
  <si>
    <t>1099_MR</t>
  </si>
  <si>
    <t>SDI Parts Cost per Work Order - Insourcing RM</t>
  </si>
  <si>
    <t>sDIPartsCostperWorkOrderInsourcingRM</t>
  </si>
  <si>
    <t>sDIPartsCostInsourcingRM / sDIPartsPctofWorkOrdersInsourcingRM</t>
  </si>
  <si>
    <t>1098_MR</t>
  </si>
  <si>
    <t>SDI Parts % of Work Orders - Insourcing RM</t>
  </si>
  <si>
    <t>sDIPartsPctofWorkOrdersInsourcingRM</t>
  </si>
  <si>
    <t>sDIPartsCostInsourcingRM / sDIPartsCostperWorkOrderInsourcingRM</t>
  </si>
  <si>
    <t>1100_MR</t>
  </si>
  <si>
    <t>Insourcing Scheduled</t>
  </si>
  <si>
    <t>insourcingScheduled</t>
  </si>
  <si>
    <t>techAllocationInsourcingScheduled + sDIPartsCostInsourcingScheduled</t>
  </si>
  <si>
    <t>1101_MR</t>
  </si>
  <si>
    <t>Tech Allocation - Insourcing Scheduled</t>
  </si>
  <si>
    <t>techAllocationInsourcingScheduled</t>
  </si>
  <si>
    <t>techAllocationCostperWorkOrderInsourcingScheduled * workOrdersInsourcingScheduled</t>
  </si>
  <si>
    <t>1102_MR</t>
  </si>
  <si>
    <t>Work Orders - Insourcing Scheduled</t>
  </si>
  <si>
    <t>workOrdersInsourcingScheduled</t>
  </si>
  <si>
    <t>insourcingRatePct * scheduledRatePctInsourcing * totalWorkOrders</t>
  </si>
  <si>
    <t>1104_MR</t>
  </si>
  <si>
    <t>Tech Allocation Cost per Work Order - Insourcing Scheduled</t>
  </si>
  <si>
    <t>techAllocationCostperWorkOrderInsourcingScheduled</t>
  </si>
  <si>
    <t>techAllocationInsourcingScheduled / workOrdersInsourcingScheduled</t>
  </si>
  <si>
    <t>1103_MR</t>
  </si>
  <si>
    <t>Scheduled Rate % - Insourcing</t>
  </si>
  <si>
    <t>scheduledRatePctInsourcing</t>
  </si>
  <si>
    <t>workOrdersInsourcingScheduled / (insourcingRatePct *  totalWorkOrders)</t>
  </si>
  <si>
    <t>1105_MR</t>
  </si>
  <si>
    <t>SDI Parts Cost - Insourcing Scheduled</t>
  </si>
  <si>
    <t>sDIPartsCostInsourcingScheduled</t>
  </si>
  <si>
    <t>sDIPartsCostperWorkOrderInsourcingScheduled * sDIPartsPctofWorkOrdersInsourcingScheduled</t>
  </si>
  <si>
    <t>1107_MR</t>
  </si>
  <si>
    <t>SDI Parts Cost per Work Order - Insourcing Scheduled</t>
  </si>
  <si>
    <t>sDIPartsCostperWorkOrderInsourcingScheduled</t>
  </si>
  <si>
    <t>sDIPartsCostInsourcingScheduled/sDIPartsPctofWorkOrdersInsourcingScheduled</t>
  </si>
  <si>
    <t>1106_MR</t>
  </si>
  <si>
    <t>SDI Parts % of Work Orders - Insourcing Scheduled</t>
  </si>
  <si>
    <t>sDIPartsPctofWorkOrdersInsourcingScheduled</t>
  </si>
  <si>
    <t>sDIPartsCostInsourcingScheduled/sDIPartsCostperWorkOrderInsourcingScheduled</t>
  </si>
  <si>
    <t>1108_MR</t>
  </si>
  <si>
    <t>Outsourcing</t>
  </si>
  <si>
    <t>outsourcing</t>
  </si>
  <si>
    <t>outsourcingPM + outsourcingRM + outsourcingScheduled + outsourcingUndefined</t>
  </si>
  <si>
    <t>1109_MR</t>
  </si>
  <si>
    <t>Outsourcing PM</t>
  </si>
  <si>
    <t>outsourcingPM</t>
  </si>
  <si>
    <t>techAllocationOutsourcingPM + sDIPartsCostOutsourcingPM</t>
  </si>
  <si>
    <t>1110_MR</t>
  </si>
  <si>
    <t>Tech Allocation - Outsourcing PM</t>
  </si>
  <si>
    <t>techAllocationOutsourcingPM</t>
  </si>
  <si>
    <t>techAllocationCostperWorkOrderOutsourcingPM * workOrdersOutsourcingPM</t>
  </si>
  <si>
    <t>1111_MR</t>
  </si>
  <si>
    <t>Work Orders - Outsourcing PM</t>
  </si>
  <si>
    <t>workOrdersOutsourcingPM</t>
  </si>
  <si>
    <t>outsourcingRatePct * pMRatePctOutsourcing * totalWorkOrders</t>
  </si>
  <si>
    <t>1114_MR</t>
  </si>
  <si>
    <t>Tech Allocation Cost per Work Order - Outsourcing PM</t>
  </si>
  <si>
    <t>techAllocationCostperWorkOrderOutsourcingPM</t>
  </si>
  <si>
    <t>techAllocationOutsourcingPM/workOrdersOutsourcingPM</t>
  </si>
  <si>
    <t>1112_MR</t>
  </si>
  <si>
    <t>Outsourcing Rate %</t>
  </si>
  <si>
    <t>outsourcingRatePct</t>
  </si>
  <si>
    <t>1-insourcingRatePct</t>
  </si>
  <si>
    <t>1113_MR</t>
  </si>
  <si>
    <t>PM Rate % - Outsourcing</t>
  </si>
  <si>
    <t>pMRatePctOutsourcing</t>
  </si>
  <si>
    <t>workOrdersOutsourcingPM/(outsourcingRatePct*totalWorkOrders)</t>
  </si>
  <si>
    <t>1115_MR</t>
  </si>
  <si>
    <t>SDI Parts Cost - Outsourcing PM</t>
  </si>
  <si>
    <t>sDIPartsCostOutsourcingPM</t>
  </si>
  <si>
    <t>sDIPartsCostperWorkOrderOutsourcingPM * sDIPartsPctofWorkOrdersOutsourcingPM</t>
  </si>
  <si>
    <t>1117_MR</t>
  </si>
  <si>
    <t>SDI Parts Cost per Work Order - Outsourcing PM</t>
  </si>
  <si>
    <t>sDIPartsCostperWorkOrderOutsourcingPM</t>
  </si>
  <si>
    <t>sDIPartsCostOutsourcingPM/sDIPartsPctofWorkOrdersOutsourcingPM</t>
  </si>
  <si>
    <t>1116_MR</t>
  </si>
  <si>
    <t>SDI Parts % of Work Orders - Outsourcing PM</t>
  </si>
  <si>
    <t>sDIPartsPctofWorkOrdersOutsourcingPM</t>
  </si>
  <si>
    <t>sDIPartsCostOutsourcingPM/sDIPartsCostperWorkOrderOutsourcingPM</t>
  </si>
  <si>
    <t>1118_MR</t>
  </si>
  <si>
    <t>Outsourcing RM</t>
  </si>
  <si>
    <t>outsourcingRM</t>
  </si>
  <si>
    <t>techAllocationOutsourcingRM + sDIPartsCostOutsourcingRM</t>
  </si>
  <si>
    <t>1119_MR</t>
  </si>
  <si>
    <t>Tech Allocation - Outsourcing RM</t>
  </si>
  <si>
    <t>techAllocationOutsourcingRM</t>
  </si>
  <si>
    <t>techAllocationCostperWorkOrderOutsourcingRM * workOrdersOutsourcingRM</t>
  </si>
  <si>
    <t>1120_MR</t>
  </si>
  <si>
    <t>Work Orders - Outsourcing RM</t>
  </si>
  <si>
    <t>workOrdersOutsourcingRM</t>
  </si>
  <si>
    <t>outsourcingRatePct * rMRatePctOutsourcing * totalWorkOrders</t>
  </si>
  <si>
    <t>1122_MR</t>
  </si>
  <si>
    <t>Tech Allocation Cost per Work Order - Outsourcing RM</t>
  </si>
  <si>
    <t>techAllocationCostperWorkOrderOutsourcingRM</t>
  </si>
  <si>
    <t>techAllocationOutsourcingRM/workOrdersOutsourcingRM</t>
  </si>
  <si>
    <t>1121_MR</t>
  </si>
  <si>
    <t>RM Rate % - Outsourcing</t>
  </si>
  <si>
    <t>rMRatePctOutsourcing</t>
  </si>
  <si>
    <t>workOrdersOutsourcingRM/(outsourcingRatePct*totalWorkOrders)</t>
  </si>
  <si>
    <t>1123_MR</t>
  </si>
  <si>
    <t>SDI Parts Cost - Outsourcing RM</t>
  </si>
  <si>
    <t>sDIPartsCostOutsourcingRM</t>
  </si>
  <si>
    <t>sDIPartsCostperWorkOrderOutsourcingRM * sDIPartsPctofWorkOrdersOutsourcingRM</t>
  </si>
  <si>
    <t>1125_MR</t>
  </si>
  <si>
    <t>SDI Parts Cost per Work Order - Outsourcing RM</t>
  </si>
  <si>
    <t>sDIPartsCostperWorkOrderOutsourcingRM</t>
  </si>
  <si>
    <t>sDIPartsCostOutsourcingRM/sDIPartsPctofWorkOrdersOutsourcingRM</t>
  </si>
  <si>
    <t>1124_MR</t>
  </si>
  <si>
    <t>SDI Parts % of Work Orders - Outsourcing RM</t>
  </si>
  <si>
    <t>sDIPartsPctofWorkOrdersOutsourcingRM</t>
  </si>
  <si>
    <t>sDIPartsCostOutsourcingRM/sDIPartsCostperWorkOrderOutsourcingRM</t>
  </si>
  <si>
    <t>1126_MR</t>
  </si>
  <si>
    <t>Outsourcing Scheduled</t>
  </si>
  <si>
    <t>outsourcingScheduled</t>
  </si>
  <si>
    <t>techAllocationOutsourcingScheduled + sDIPartsCostOutsourcingScheduled</t>
  </si>
  <si>
    <t>1127_MR</t>
  </si>
  <si>
    <t>Tech Allocation - Outsourcing Scheduled</t>
  </si>
  <si>
    <t>techAllocationOutsourcingScheduled</t>
  </si>
  <si>
    <t>techAllocationCostperWorkOrderOutsourcingScheduled * workOrdersOutsourcingScheduled</t>
  </si>
  <si>
    <t>1128_MR</t>
  </si>
  <si>
    <t>Work Orders - Outsourcing Scheduled</t>
  </si>
  <si>
    <t>workOrdersOutsourcingScheduled</t>
  </si>
  <si>
    <t>outsourcingRatePct * scheduledRatePctOutsourcing * totalWorkOrders</t>
  </si>
  <si>
    <t>1130_MR</t>
  </si>
  <si>
    <t>Tech Allocation Cost per Work Order - Outsourcing Scheduled</t>
  </si>
  <si>
    <t>techAllocationCostperWorkOrderOutsourcingScheduled</t>
  </si>
  <si>
    <t>techAllocationOutsourcingScheduled/workOrdersOutsourcingScheduled</t>
  </si>
  <si>
    <t>1129_MR</t>
  </si>
  <si>
    <t>Scheduled Rate % - Outsourcing</t>
  </si>
  <si>
    <t>scheduledRatePctOutsourcing</t>
  </si>
  <si>
    <t>workOrdersOutsourcingScheduled/(outsourcingRatePct * totalWorkOrders)</t>
  </si>
  <si>
    <t>1131_MR</t>
  </si>
  <si>
    <t>SDI Parts Cost - Outsourcing Scheduled</t>
  </si>
  <si>
    <t>sDIPartsCostOutsourcingScheduled</t>
  </si>
  <si>
    <t>sDIPartsCostperWorkOrderOutsourcingScheduled *  sDIPartsPctofWorkOrdersOutsourcingScheduled</t>
  </si>
  <si>
    <t>1133_MR</t>
  </si>
  <si>
    <t>SDI Parts Cost per Work Order - Outsourcing Scheduled</t>
  </si>
  <si>
    <t>sDIPartsCostperWorkOrderOutsourcingScheduled</t>
  </si>
  <si>
    <t>sDIPartsCostOutsourcingScheduled/sDIPartsPctofWorkOrdersOutsourcingScheduled</t>
  </si>
  <si>
    <t>1132_MR</t>
  </si>
  <si>
    <t>SDI Parts % of Work Orders - Outsourcing Scheduled</t>
  </si>
  <si>
    <t>sDIPartsPctofWorkOrdersOutsourcingScheduled</t>
  </si>
  <si>
    <t>sDIPartsCostOutsourcingScheduled/sDIPartsCostperWorkOrderOutsourcingScheduled</t>
  </si>
  <si>
    <t>1196_MR</t>
  </si>
  <si>
    <t>Other Business Area M&amp;R Cost</t>
  </si>
  <si>
    <t>otherBusinessAreaMandRCost</t>
  </si>
  <si>
    <t>1247_MR</t>
  </si>
  <si>
    <t>Puerto Rico Store Ops M&amp;R Cost</t>
  </si>
  <si>
    <t>puertoRicoStoreOpsMandRCost</t>
  </si>
  <si>
    <t>1300_MR</t>
  </si>
  <si>
    <t>M&amp;R Scaling Factor (Operations)</t>
  </si>
  <si>
    <t>mandRScalingFactorOperations</t>
  </si>
  <si>
    <t>historicalMandRCostatGrain / historicalMandRCostbyMonth</t>
  </si>
  <si>
    <t>1301_MR</t>
  </si>
  <si>
    <t>Historical M&amp;R Cost by Month</t>
  </si>
  <si>
    <t>historicalMandRCostbyMonth</t>
  </si>
  <si>
    <t>{"node_x":["historicalMandRCostatGrain"]}</t>
  </si>
  <si>
    <t>1217_MR</t>
  </si>
  <si>
    <t>Historical M&amp;R Cost at Grain</t>
  </si>
  <si>
    <t>historicalMandRCostatGrain</t>
  </si>
  <si>
    <t>4_MR</t>
  </si>
  <si>
    <t>Supply Chain M&amp;R</t>
  </si>
  <si>
    <t>supplyChainMandR</t>
  </si>
  <si>
    <t>supplyChain07ScalingNode * supplyChainMandRmonth</t>
  </si>
  <si>
    <t>1302_MR</t>
  </si>
  <si>
    <t>Supply Chain 07 Scaling Node</t>
  </si>
  <si>
    <t>supplyChain07ScalingNode</t>
  </si>
  <si>
    <t>MPSupplyChainUS, US.08717, USSCFY20ADJSTSSC, WMT_US_Supply_Chain_Total_GP, WMT_US_Supply_Chain_Total_SGA</t>
  </si>
  <si>
    <t>supplyChainMandR/supplyChainMandRmonth</t>
  </si>
  <si>
    <t>supplyChain07SOTgrain / supplyChain07SOTmonthlocation</t>
  </si>
  <si>
    <t>1303_MR</t>
  </si>
  <si>
    <t>Supply Chain 07 SOT (month,location)</t>
  </si>
  <si>
    <t>supplyChain07SOTmonthlocation</t>
  </si>
  <si>
    <t>{"node_x":["supplyChain07SOTgrain"]}</t>
  </si>
  <si>
    <t>1304_MR</t>
  </si>
  <si>
    <t>Supply Chain 07 SOT (grain)</t>
  </si>
  <si>
    <t>supplyChain07SOTgrain</t>
  </si>
  <si>
    <t>1305_MR</t>
  </si>
  <si>
    <t>Supply Chain M&amp;R (month)</t>
  </si>
  <si>
    <t>supplyChainMandRmonth</t>
  </si>
  <si>
    <t>{"node_x":["scfacilitiesMaintenancePk07"]}</t>
  </si>
  <si>
    <t>1200_MR</t>
  </si>
  <si>
    <t>eComm M&amp;R</t>
  </si>
  <si>
    <t>eCommMandR</t>
  </si>
  <si>
    <t>brandsMandR + fCMandR + othereCommMandR</t>
  </si>
  <si>
    <t>1237_MR</t>
  </si>
  <si>
    <t>Brands M&amp;R</t>
  </si>
  <si>
    <t>brandsMandR</t>
  </si>
  <si>
    <t>27_MR</t>
  </si>
  <si>
    <t>FC M&amp;R</t>
  </si>
  <si>
    <t>fCMandR</t>
  </si>
  <si>
    <t>mandRInflation * uninflatedFCMandR</t>
  </si>
  <si>
    <t>1227_MR</t>
  </si>
  <si>
    <t>Uninflated FC M&amp;R</t>
  </si>
  <si>
    <t>uninflatedFCMandR</t>
  </si>
  <si>
    <t>costperFCLocationMandR * nbrofFCs</t>
  </si>
  <si>
    <t>1152_MR</t>
  </si>
  <si>
    <t>Cost per FC Location (M&amp;R)</t>
  </si>
  <si>
    <t>costperFCLocationMandR</t>
  </si>
  <si>
    <t>uninflatedFCMandR/nbrofFCs</t>
  </si>
  <si>
    <t>1017_SBA</t>
  </si>
  <si>
    <t>FULFILLMENT</t>
  </si>
  <si>
    <t>1245_MR</t>
  </si>
  <si>
    <t>nbr of FCs</t>
  </si>
  <si>
    <t>nbrofFCs</t>
  </si>
  <si>
    <t>uninflatedFCMandR/costperFCLocationMandR</t>
  </si>
  <si>
    <t>1243_MR</t>
  </si>
  <si>
    <t>Other eComm M&amp;R</t>
  </si>
  <si>
    <t>othereCommMandR</t>
  </si>
  <si>
    <t>1208_MR</t>
  </si>
  <si>
    <t>Home Office M&amp;R</t>
  </si>
  <si>
    <t>homeOfficeMandR</t>
  </si>
  <si>
    <t>(mandRScalingFactorHO*insourceTechAllocationmonth) + otherHomeOfficeMandRNonHandW</t>
  </si>
  <si>
    <t>1234_MR</t>
  </si>
  <si>
    <t>M&amp;R Scaling Factor (HO)</t>
  </si>
  <si>
    <t>mandRScalingFactorHO</t>
  </si>
  <si>
    <t>1233_MR</t>
  </si>
  <si>
    <t>Insource Tech Allocation (month)</t>
  </si>
  <si>
    <t>insourceTechAllocationmonth</t>
  </si>
  <si>
    <t>{"node_x":["insourceTechAllocation"]}</t>
  </si>
  <si>
    <t>1232_MR</t>
  </si>
  <si>
    <t>Insource Tech Allocation</t>
  </si>
  <si>
    <t>insourceTechAllocation</t>
  </si>
  <si>
    <t>techAllocationInsourcingPM + techAllocationInsourcingRM + techAllocationInsourcingScheduled+insourcingUndefined</t>
  </si>
  <si>
    <t>1221_MR</t>
  </si>
  <si>
    <t>Insourcing Undefined</t>
  </si>
  <si>
    <t>insourcingUndefined</t>
  </si>
  <si>
    <t>1231_MR</t>
  </si>
  <si>
    <t>Other Home Office M&amp;R (Non-H&amp;W)</t>
  </si>
  <si>
    <t>otherHomeOfficeMandRNonHandW</t>
  </si>
  <si>
    <t>3_MR</t>
  </si>
  <si>
    <t>Manufacturing M&amp;R</t>
  </si>
  <si>
    <t>manufacturingMandR</t>
  </si>
  <si>
    <t>1230_MR</t>
  </si>
  <si>
    <t>Other H&amp;W M&amp;R</t>
  </si>
  <si>
    <t>otherHandWMandR</t>
  </si>
  <si>
    <t>291_SGAA</t>
  </si>
  <si>
    <t>Plug (09 Supplies)</t>
  </si>
  <si>
    <t>plug09Supplies</t>
  </si>
  <si>
    <t>sOT09Supplies - supplyCalculated</t>
  </si>
  <si>
    <t>2000_SUP</t>
  </si>
  <si>
    <t>Supply Calculated</t>
  </si>
  <si>
    <t>supplyCalculated</t>
  </si>
  <si>
    <t>(_901Bags + _902FoodPackagingFreshFoodandDeli + _903MerchandiseRelatedSupplies + _904Fixtures + _905UniformsandFloorMats + _906OffShelfandRetailPurchasedSupplies + _907CleaningandRestroomSupplies + _908Backroom + _909OfficeSuppliesandReceipts + _910CustomerRelationsExpense + _911ShippingPalletsandPostalCourier + _912StoreSuppliesExpensePreOpening + _913OtherSupplyCosts)</t>
  </si>
  <si>
    <t>500901_UFM</t>
  </si>
  <si>
    <t>[09.01] Bags</t>
  </si>
  <si>
    <t>_901Bags</t>
  </si>
  <si>
    <t>(storeBagsCost + supplyChainBagsCost + eCommBagsCost + otherBagsCostnondriverbased)</t>
  </si>
  <si>
    <t>514_SUP</t>
  </si>
  <si>
    <t>Store Bags Cost</t>
  </si>
  <si>
    <t>storeBagsCost</t>
  </si>
  <si>
    <t>(storeBagsInflation * uninflatedBagsCost)</t>
  </si>
  <si>
    <t>1009_SUP</t>
  </si>
  <si>
    <t>Store Bags Inflation</t>
  </si>
  <si>
    <t>storeBagsInflation</t>
  </si>
  <si>
    <t>(storeBagsCost / uninflatedBagsCost)</t>
  </si>
  <si>
    <t>1010_SUP</t>
  </si>
  <si>
    <t>Uninflated Bags Cost</t>
  </si>
  <si>
    <t>uninflatedBagsCost</t>
  </si>
  <si>
    <t>(bagsCostasPctofNetSales * netSales)</t>
  </si>
  <si>
    <t>515_SUP</t>
  </si>
  <si>
    <t>Bags Cost as % of Net Sales</t>
  </si>
  <si>
    <t>bagsCostasPctofNetSales</t>
  </si>
  <si>
    <t>(uninflatedBagsCost / netSales)</t>
  </si>
  <si>
    <t>2001_SUP</t>
  </si>
  <si>
    <t>Supply Chain Bags Cost</t>
  </si>
  <si>
    <t>supplyChainBagsCost</t>
  </si>
  <si>
    <t>(supplyChain901ScalingNode * supplyChainBagsCostmonthlocation)</t>
  </si>
  <si>
    <t>200_SUP</t>
  </si>
  <si>
    <t>Supply Chain 9.01 Scaling Node</t>
  </si>
  <si>
    <t>supplyChain901ScalingNode</t>
  </si>
  <si>
    <t>(supplyChainBagsCost / supplyChainBagsCostmonthlocation)</t>
  </si>
  <si>
    <t>(supplyChain901SOTgrain / supplyChain901SOTmonthlocation)</t>
  </si>
  <si>
    <t>201_SUP</t>
  </si>
  <si>
    <t>Supply Chain 9.01 SOT (month,location)</t>
  </si>
  <si>
    <t>supplyChain901SOTmonthlocation</t>
  </si>
  <si>
    <t>{"node_x":["supplyChain901SOTgrain"]}</t>
  </si>
  <si>
    <t>202_SUP</t>
  </si>
  <si>
    <t>Supply Chain 9.01 SOT (grain)</t>
  </si>
  <si>
    <t>supplyChain901SOTgrain</t>
  </si>
  <si>
    <t>_901BagsSOT</t>
  </si>
  <si>
    <t>79_SGAA</t>
  </si>
  <si>
    <t>203_SUP</t>
  </si>
  <si>
    <t>Supply Chain Bags Cost (month, location)</t>
  </si>
  <si>
    <t>supplyChainBagsCostmonthlocation</t>
  </si>
  <si>
    <t>{"node_x":["scbagsCost901"]}</t>
  </si>
  <si>
    <t>876_SUP</t>
  </si>
  <si>
    <t>eComm Bags Cost</t>
  </si>
  <si>
    <t>eCommBagsCost</t>
  </si>
  <si>
    <t>(fCBagsCost + othereCommBagsCost)</t>
  </si>
  <si>
    <t>36_SUP</t>
  </si>
  <si>
    <t>FC Bags Cost</t>
  </si>
  <si>
    <t>fCBagsCost</t>
  </si>
  <si>
    <t>(fCBagsInflation * uninflatedFCBagsCost)</t>
  </si>
  <si>
    <t>970_SUP</t>
  </si>
  <si>
    <t>FC Bags Inflation</t>
  </si>
  <si>
    <t>fCBagsInflation</t>
  </si>
  <si>
    <t>(fCBagsCost / uninflatedFCBagsCost)</t>
  </si>
  <si>
    <t>996_SUP</t>
  </si>
  <si>
    <t>Uninflated FC Bags Cost</t>
  </si>
  <si>
    <t>uninflatedFCBagsCost</t>
  </si>
  <si>
    <t>(allocatedbagcostperpackage * packagesSupplies)</t>
  </si>
  <si>
    <t>776_SUP</t>
  </si>
  <si>
    <t>Allocated bag cost per package</t>
  </si>
  <si>
    <t>allocatedbagcostperpackage</t>
  </si>
  <si>
    <t>uninflatedFCBagsCost/packages</t>
  </si>
  <si>
    <t>777_SUP</t>
  </si>
  <si>
    <t>Packages (Supplies)</t>
  </si>
  <si>
    <t>packagesSupplies</t>
  </si>
  <si>
    <t>(packagesperUnit * totalFCUnits)</t>
  </si>
  <si>
    <t>1118_SUP</t>
  </si>
  <si>
    <t>Packages per Unit</t>
  </si>
  <si>
    <t>packagesperUnit</t>
  </si>
  <si>
    <t>(packages / totalFCUnits)</t>
  </si>
  <si>
    <t>943_SUP</t>
  </si>
  <si>
    <t>Total FC Units</t>
  </si>
  <si>
    <t>totalFCUnits</t>
  </si>
  <si>
    <t>fCtotalSupportUnits</t>
  </si>
  <si>
    <t>907_LABOR</t>
  </si>
  <si>
    <t>FC Total Support Units</t>
  </si>
  <si>
    <t>fCTotalSupportUnits</t>
  </si>
  <si>
    <t>fCInboundUnits + fCOutboundUnits</t>
  </si>
  <si>
    <t>898_LABOR</t>
  </si>
  <si>
    <t>FC Inbound Units</t>
  </si>
  <si>
    <t>fCInboundUnits</t>
  </si>
  <si>
    <t>fcInboundUnitsRatio * scalingmonthlyNbrofnetunitssoldEcomnonStoreFulfilled</t>
  </si>
  <si>
    <t>1804_LABOR</t>
  </si>
  <si>
    <t>FC Inbound Units Ratio</t>
  </si>
  <si>
    <t>fCInboundUnitsRatio</t>
  </si>
  <si>
    <t>fCInboundUnits / scalingmonthlyNbrofnetunitssoldEcomnonStoreFulfilled</t>
  </si>
  <si>
    <t>1949_LABOR</t>
  </si>
  <si>
    <t>Scaling monthly # of net units sold Ecom non-Store Fulfilled</t>
  </si>
  <si>
    <t>scalingmonthlyNbrofnetunitssoldEcomnonStoreFulfilled</t>
  </si>
  <si>
    <t>908_LABOR</t>
  </si>
  <si>
    <t>FC Outbound Units</t>
  </si>
  <si>
    <t>fCOutboundUnits</t>
  </si>
  <si>
    <t>fCOutboundUnitsRatio * scalingmonthlyNbrofnetunitssoldEcomnonStoreFulfilled</t>
  </si>
  <si>
    <t>1805_LABOR</t>
  </si>
  <si>
    <t>FC Outbound Units Ratio</t>
  </si>
  <si>
    <t>fCOutboundUnitsRatio</t>
  </si>
  <si>
    <t>fCOutboundUnits / scalingmonthlyNbrofnetunitssoldEcomnonStoreFulfilled</t>
  </si>
  <si>
    <t>1104_SUP</t>
  </si>
  <si>
    <t>Other eComm Bags Cost</t>
  </si>
  <si>
    <t>othereCommBagsCost</t>
  </si>
  <si>
    <t>7979_SGAA</t>
  </si>
  <si>
    <t>Other Bags Cost (non-driver based)</t>
  </si>
  <si>
    <t>otherBagsCostnondriverbased</t>
  </si>
  <si>
    <t>500902_UFM</t>
  </si>
  <si>
    <t>[09.02] Food Packaging/Fresh Food and Deli</t>
  </si>
  <si>
    <t>_902FoodPackagingFreshFoodandDeli</t>
  </si>
  <si>
    <t>(storeFoodPackagingCost + supplyChainFoodPackagingCost + eCommFoodPackagingCost + otherFoodPackagingCostnondriverbased)</t>
  </si>
  <si>
    <t>518_SUP</t>
  </si>
  <si>
    <t>Store Food Packaging Cost</t>
  </si>
  <si>
    <t>storeFoodPackagingCost</t>
  </si>
  <si>
    <t>(storeFoodPackagingInflation * uninflatedFoodPackagingCost)</t>
  </si>
  <si>
    <t>1011_SUP</t>
  </si>
  <si>
    <t>Store Food Packaging Inflation</t>
  </si>
  <si>
    <t>storeFoodPackagingInflation</t>
  </si>
  <si>
    <t>1012_SUP</t>
  </si>
  <si>
    <t>Uninflated Food Packaging Cost</t>
  </si>
  <si>
    <t>uninflatedFoodPackagingCost</t>
  </si>
  <si>
    <t>(foodPackagingCostasPctofNetSales * netSales)</t>
  </si>
  <si>
    <t>520_SUP</t>
  </si>
  <si>
    <t>Food Packaging Cost as % of Net Sales</t>
  </si>
  <si>
    <t>foodPackagingCostasPctofNetSales</t>
  </si>
  <si>
    <t>(uninflatedFoodPackagingCost / netSales)</t>
  </si>
  <si>
    <t>2002_SUP</t>
  </si>
  <si>
    <t>Supply Chain Food Packaging Cost</t>
  </si>
  <si>
    <t>supplyChainFoodPackagingCost</t>
  </si>
  <si>
    <t>(supplyChain902ScalingNode * supplyChainFoodPackagingCostmonthlocation)</t>
  </si>
  <si>
    <t>204_SUP</t>
  </si>
  <si>
    <t>Supply Chain 9.02 Scaling Node</t>
  </si>
  <si>
    <t>supplyChain902ScalingNode</t>
  </si>
  <si>
    <t>(supplyChainFoodPackagingCost / supplyChainFoodPackagingCostmonthlocation)</t>
  </si>
  <si>
    <t>(supplyChain902SOTgrain / supplyChain902SOTmonthlocation)</t>
  </si>
  <si>
    <t>205_SUP</t>
  </si>
  <si>
    <t>Supply Chain 9.02 SOT (month,location)</t>
  </si>
  <si>
    <t>supplyChain902SOTmonthlocation</t>
  </si>
  <si>
    <t>{"node_x":["supplyChain902SOTgrain"]}</t>
  </si>
  <si>
    <t>206_SUP</t>
  </si>
  <si>
    <t>Supply Chain 9.02 SOT (grain)</t>
  </si>
  <si>
    <t>supplyChain902SOTgrain</t>
  </si>
  <si>
    <t>_902FoodPackagingFreshFoodandDeliSOT</t>
  </si>
  <si>
    <t>80_SGAA</t>
  </si>
  <si>
    <t>207_SUP</t>
  </si>
  <si>
    <t>Supply Chain Food Packaging Cost (month, location)</t>
  </si>
  <si>
    <t>supplyChainFoodPackagingCostmonthlocation</t>
  </si>
  <si>
    <t>{"node_x":["scfoodPackagingFreshFoodandDeliCost902"]}</t>
  </si>
  <si>
    <t>880_SUP</t>
  </si>
  <si>
    <t>eComm Food Packaging Cost</t>
  </si>
  <si>
    <t>eCommFoodPackagingCost</t>
  </si>
  <si>
    <t>(fCFoodPackagingCost + brandsFoodPackagingCost + othereCommFoodPackagingCost)</t>
  </si>
  <si>
    <t>75_SUP</t>
  </si>
  <si>
    <t>FC Food Packaging Cost</t>
  </si>
  <si>
    <t>fCFoodPackagingCost</t>
  </si>
  <si>
    <t>(fCFoodPackagingInflation * uninflatedFCFoodPackagingCost)</t>
  </si>
  <si>
    <t>971_SUP</t>
  </si>
  <si>
    <t>FC Food Packaging Inflation</t>
  </si>
  <si>
    <t>fCFoodPackagingInflation</t>
  </si>
  <si>
    <t>(fCFoodPackagingCost / uninflatedFCFoodPackagingCost)</t>
  </si>
  <si>
    <t>997_SUP</t>
  </si>
  <si>
    <t>Uninflated FC Food Packaging Cost</t>
  </si>
  <si>
    <t>uninflatedFCFoodPackagingCost</t>
  </si>
  <si>
    <t>(nonPackagingCosts * allocatedfoodpackagingcostperpackage * packagesSupplies)</t>
  </si>
  <si>
    <t>680_SUP</t>
  </si>
  <si>
    <t>Non-Packaging Costs</t>
  </si>
  <si>
    <t>nonPackagingCosts</t>
  </si>
  <si>
    <t>uninflatedFCFoodPackagingCost/(allocatedfoodpackagingcostperpackage*packages)</t>
  </si>
  <si>
    <t>781_SUP</t>
  </si>
  <si>
    <t>Allocated food packaging cost per package</t>
  </si>
  <si>
    <t>allocatedfoodpackagingcostperpackage</t>
  </si>
  <si>
    <t>uninflatedFCFoodPackagingCost/(nonPackagingCosts*packages)</t>
  </si>
  <si>
    <t>1063_SUP</t>
  </si>
  <si>
    <t>Brands Food Packaging Cost</t>
  </si>
  <si>
    <t>brandsFoodPackagingCost</t>
  </si>
  <si>
    <t>1105_SUP</t>
  </si>
  <si>
    <t>Other eComm Food Packaging Cost</t>
  </si>
  <si>
    <t>othereCommFoodPackagingCost</t>
  </si>
  <si>
    <t>8080_SGAA</t>
  </si>
  <si>
    <t>Other Food Packaging Cost (non-driver based)</t>
  </si>
  <si>
    <t>otherFoodPackagingCostnondriverbased</t>
  </si>
  <si>
    <t>500903_UFM</t>
  </si>
  <si>
    <t>[09.03] Merchandise Related Supplies Total</t>
  </si>
  <si>
    <t>_903MerchandiseRelatedSupplies</t>
  </si>
  <si>
    <t>(storeMerchRelatedSuppliesCost + supplyChainMerchRelatedSuppliesCost + eCommMerchRelatedSuppliesCost + otherMerchRelatedSuppliesCostnondriverbased)</t>
  </si>
  <si>
    <t>521_SUP</t>
  </si>
  <si>
    <t>Store Merch Related Supplies Cost</t>
  </si>
  <si>
    <t>storeMerchRelatedSuppliesCost</t>
  </si>
  <si>
    <t>(allianceAllowableExpenses + merchRelatedSupplies + autoCareCenterSupplies + pharmacySupplies + opticalSupplies + shoppingCardsSupplies)</t>
  </si>
  <si>
    <t>1043_SUP</t>
  </si>
  <si>
    <t>Alliance Allowable Expenses</t>
  </si>
  <si>
    <t>allianceAllowableExpenses</t>
  </si>
  <si>
    <t>(allianceAllowableExpensesinflation * uninflatedAllianceAllowableExpenses)</t>
  </si>
  <si>
    <t>1044_SUP</t>
  </si>
  <si>
    <t>Alliance Allowable Expenses inflation</t>
  </si>
  <si>
    <t>allianceAllowableExpensesinflation</t>
  </si>
  <si>
    <t>(allianceAllowableExpenses / uninflatedAllianceAllowableExpenses)</t>
  </si>
  <si>
    <t>1045_SUP</t>
  </si>
  <si>
    <t>Uninflated Alliance Allowable Expenses</t>
  </si>
  <si>
    <t>uninflatedAllianceAllowableExpenses</t>
  </si>
  <si>
    <t>(allianceAllowableExpensesPctofNetSales * netSales)</t>
  </si>
  <si>
    <t>1046_SUP</t>
  </si>
  <si>
    <t>Alliance Allowable Expenses % of Net Sales</t>
  </si>
  <si>
    <t>allianceAllowableExpensesPctofNetSales</t>
  </si>
  <si>
    <t>(uninflatedAllianceAllowableExpenses / netSales)</t>
  </si>
  <si>
    <t>522_SUP</t>
  </si>
  <si>
    <t>Merch Related Supplies</t>
  </si>
  <si>
    <t>merchRelatedSupplies</t>
  </si>
  <si>
    <t>(merchRelatedSuppliesinflation * uninflatedMerchRelatedSupplies)</t>
  </si>
  <si>
    <t>1013_SUP</t>
  </si>
  <si>
    <t>Merch Related Supplies inflation</t>
  </si>
  <si>
    <t>merchRelatedSuppliesinflation</t>
  </si>
  <si>
    <t>(merchRelatedSupplies / uninflatedMerchRelatedSupplies)</t>
  </si>
  <si>
    <t>1014_SUP</t>
  </si>
  <si>
    <t>Uninflated Merch Related Supplies</t>
  </si>
  <si>
    <t>uninflatedMerchRelatedSupplies</t>
  </si>
  <si>
    <t>(merchRelatedSuppliesPctofNetSales * netSales)</t>
  </si>
  <si>
    <t>706_SUP</t>
  </si>
  <si>
    <t>Merch Related Supplies % of Net Sales</t>
  </si>
  <si>
    <t>merchRelatedSuppliesPctofNetSales</t>
  </si>
  <si>
    <t>(uninflatedMerchRelatedSupplies / netSales)</t>
  </si>
  <si>
    <t>528_SUP</t>
  </si>
  <si>
    <t>Auto Care Center Supplies</t>
  </si>
  <si>
    <t>autoCareCenterSupplies</t>
  </si>
  <si>
    <t>(autoCareCenterSuppliesinflation * uninflatedAutoCareCenterSupplies)</t>
  </si>
  <si>
    <t>1017_SUP</t>
  </si>
  <si>
    <t>Auto Care Center Supplies inflation</t>
  </si>
  <si>
    <t>autoCareCenterSuppliesinflation</t>
  </si>
  <si>
    <t>(autoCareCenterSupplies / uninflatedAutoCareCenterSupplies)</t>
  </si>
  <si>
    <t>1018_SUP</t>
  </si>
  <si>
    <t>Uninflated Auto Care Center Supplies</t>
  </si>
  <si>
    <t>uninflatedAutoCareCenterSupplies</t>
  </si>
  <si>
    <t>(autoCareCenterSuppliesPctofNetSales * netSales)</t>
  </si>
  <si>
    <t>530_SUP</t>
  </si>
  <si>
    <t>Auto Care Center Supplies % of Net Sales</t>
  </si>
  <si>
    <t>autoCareCenterSuppliesPctofNetSales</t>
  </si>
  <si>
    <t>(uninflatedAutoCareCenterSupplies / netSales)</t>
  </si>
  <si>
    <t>531_SUP</t>
  </si>
  <si>
    <t>Pharmacy Supplies</t>
  </si>
  <si>
    <t>pharmacySupplies</t>
  </si>
  <si>
    <t>(pharmacySuppliesinflation * uninflatedPharmacySupplies)</t>
  </si>
  <si>
    <t>1019_SUP</t>
  </si>
  <si>
    <t>Pharmacy Supplies inflation</t>
  </si>
  <si>
    <t>pharmacySuppliesinflation</t>
  </si>
  <si>
    <t>(pharmacySupplies / uninflatedPharmacySupplies)</t>
  </si>
  <si>
    <t>1020_SUP</t>
  </si>
  <si>
    <t>Uninflated Pharmacy Supplies</t>
  </si>
  <si>
    <t>uninflatedPharmacySupplies</t>
  </si>
  <si>
    <t>(pharmacySuppliesPctofNetSales * netSales)</t>
  </si>
  <si>
    <t>533_SUP</t>
  </si>
  <si>
    <t>Pharmacy Supplies % of Net Sales</t>
  </si>
  <si>
    <t>pharmacySuppliesPctofNetSales</t>
  </si>
  <si>
    <t>(uninflatedPharmacySupplies / netSales)</t>
  </si>
  <si>
    <t>534_SUP</t>
  </si>
  <si>
    <t>Optical Supplies</t>
  </si>
  <si>
    <t>opticalSupplies</t>
  </si>
  <si>
    <t>(opticalSuppliesinflation * uninflatedOpticalSupplies)</t>
  </si>
  <si>
    <t>1021_SUP</t>
  </si>
  <si>
    <t>Optical Supplies inflation</t>
  </si>
  <si>
    <t>opticalSuppliesinflation</t>
  </si>
  <si>
    <t>(opticalSupplies / uninflatedOpticalSupplies)</t>
  </si>
  <si>
    <t>1022_SUP</t>
  </si>
  <si>
    <t>Uninflated Optical Supplies</t>
  </si>
  <si>
    <t>uninflatedOpticalSupplies</t>
  </si>
  <si>
    <t>(opticalSuppliesPctofNetSales * netSales)</t>
  </si>
  <si>
    <t>536_SUP</t>
  </si>
  <si>
    <t>Optical Supplies % of Net Sales</t>
  </si>
  <si>
    <t>opticalSuppliesPctofNetSales</t>
  </si>
  <si>
    <t>(uninflatedOpticalSupplies / netSales)</t>
  </si>
  <si>
    <t>719_SUP</t>
  </si>
  <si>
    <t>Shopping Cards Supplies</t>
  </si>
  <si>
    <t>shoppingCardsSupplies</t>
  </si>
  <si>
    <t>(shoppingCardsSuppliesinflation * uninflatedShoppingCardsSupplies)</t>
  </si>
  <si>
    <t>1015_SUP</t>
  </si>
  <si>
    <t>Shopping Cards Supplies inflation</t>
  </si>
  <si>
    <t>shoppingCardsSuppliesinflation</t>
  </si>
  <si>
    <t>(shoppingCardsSupplies / uninflatedShoppingCardsSupplies)</t>
  </si>
  <si>
    <t>1016_SUP</t>
  </si>
  <si>
    <t>Uninflated Shopping Cards Supplies</t>
  </si>
  <si>
    <t>uninflatedShoppingCardsSupplies</t>
  </si>
  <si>
    <t>(shoppingCardsSuppliesPctofNetSales * netSales)</t>
  </si>
  <si>
    <t>734_SUP</t>
  </si>
  <si>
    <t>Shopping Cards Supplies % of Net Sales</t>
  </si>
  <si>
    <t>shoppingCardsSuppliesPctofNetSales</t>
  </si>
  <si>
    <t>(uninflatedShoppingCardsSupplies / netSales)</t>
  </si>
  <si>
    <t>2003_SUP</t>
  </si>
  <si>
    <t>Supply Chain Merch Related Supplies Cost</t>
  </si>
  <si>
    <t>supplyChainMerchRelatedSuppliesCost</t>
  </si>
  <si>
    <t>(supplyChain903ScalingNode * supplyChainMerchandiseRelatedSuppliesmonthlocation)</t>
  </si>
  <si>
    <t>208_SUP</t>
  </si>
  <si>
    <t>Supply Chain 9.03 Scaling Node</t>
  </si>
  <si>
    <t>supplyChain903ScalingNode</t>
  </si>
  <si>
    <t>(supplyChainMerchRelatedSuppliesCost / supplyChainMerchandiseRelatedSuppliesmonthlocation)</t>
  </si>
  <si>
    <t>(supplyChain903SOTgrain / supplyChain903SOTmonthlocation)</t>
  </si>
  <si>
    <t>209_SUP</t>
  </si>
  <si>
    <t>Supply Chain 9.03 SOT (month,location)</t>
  </si>
  <si>
    <t>supplyChain903SOTmonthlocation</t>
  </si>
  <si>
    <t>{"node_x":["supplyChain903SOTgrain"]}</t>
  </si>
  <si>
    <t>210_SUP</t>
  </si>
  <si>
    <t>Supply Chain 9.03 SOT (grain)</t>
  </si>
  <si>
    <t>supplyChain903SOTgrain</t>
  </si>
  <si>
    <t>_903MerchandiseRelatedSuppliesSOT</t>
  </si>
  <si>
    <t>81_SGAA</t>
  </si>
  <si>
    <t>[09.03] Merchandise Related Supplies</t>
  </si>
  <si>
    <t>211_SUP</t>
  </si>
  <si>
    <t>Supply Chain Merchandise Related Supplies (month,location)</t>
  </si>
  <si>
    <t>supplyChainMerchandiseRelatedSuppliesmonthlocation</t>
  </si>
  <si>
    <t>{"node_x":["scmerchandiseRelatedSupplies903"]}</t>
  </si>
  <si>
    <t>884_SUP</t>
  </si>
  <si>
    <t>eComm Merch Related Supplies Cost</t>
  </si>
  <si>
    <t>eCommMerchRelatedSuppliesCost</t>
  </si>
  <si>
    <t>(fCMerchRelatedSuppliesCost + brandsMerchRelatedSuppliesCost + othereCommMerchRelatedSuppliesCost)</t>
  </si>
  <si>
    <t>114_SUP</t>
  </si>
  <si>
    <t>FC Merch Related Supplies Cost</t>
  </si>
  <si>
    <t>fCMerchRelatedSuppliesCost</t>
  </si>
  <si>
    <t>(fCMerchRelatedSuppliesInflation * uninflatedFCMerchRelatedSuppliesCost)</t>
  </si>
  <si>
    <t>972_SUP</t>
  </si>
  <si>
    <t>FC Merch Related Supplies Inflation</t>
  </si>
  <si>
    <t>fCMerchRelatedSuppliesInflation</t>
  </si>
  <si>
    <t>(fCMerchRelatedSuppliesCost / uninflatedFCMerchRelatedSuppliesCost)</t>
  </si>
  <si>
    <t>998_SUP</t>
  </si>
  <si>
    <t>Uninflated FC Merch Related Supplies Cost</t>
  </si>
  <si>
    <t>uninflatedFCMerchRelatedSuppliesCost</t>
  </si>
  <si>
    <t>(nonPackagingCosts * allocatedmerchrelatedsuppliescostperpackage * packagesSupplies)</t>
  </si>
  <si>
    <t>788_SUP</t>
  </si>
  <si>
    <t>Allocated merch related supplies cost per package</t>
  </si>
  <si>
    <t>allocatedmerchrelatedsuppliescostperpackage</t>
  </si>
  <si>
    <t>uninflatedFCMerchRelatedSuppliesCost/(nonPackagingCosts*packages)</t>
  </si>
  <si>
    <t>1064_SUP</t>
  </si>
  <si>
    <t>Brands Merch Related Supplies Cost</t>
  </si>
  <si>
    <t>brandsMerchRelatedSuppliesCost</t>
  </si>
  <si>
    <t>1106_SUP</t>
  </si>
  <si>
    <t>Other eComm Merch Related Supplies Cost</t>
  </si>
  <si>
    <t>othereCommMerchRelatedSuppliesCost</t>
  </si>
  <si>
    <t>8181_SGAA</t>
  </si>
  <si>
    <t>Other Merch Related Supplies Cost (non-driver based)</t>
  </si>
  <si>
    <t>otherMerchRelatedSuppliesCostnondriverbased</t>
  </si>
  <si>
    <t>500904_UFM</t>
  </si>
  <si>
    <t>[09.04] Fixtures</t>
  </si>
  <si>
    <t>_904Fixtures</t>
  </si>
  <si>
    <t>(storeFixturesCost + supplyChainFixturesCost + eCommFixturesCost + otherFixturesCostnondriverbased)</t>
  </si>
  <si>
    <t>562_SUP</t>
  </si>
  <si>
    <t>Store Fixtures Cost</t>
  </si>
  <si>
    <t>storeFixturesCost</t>
  </si>
  <si>
    <t>(storeFixturesInflation * uninflatedFixturesCost)</t>
  </si>
  <si>
    <t>1041_SUP</t>
  </si>
  <si>
    <t>Store Fixtures Inflation</t>
  </si>
  <si>
    <t>storeFixturesInflation</t>
  </si>
  <si>
    <t>(storeFixturesCost / uninflatedFixturesCost)</t>
  </si>
  <si>
    <t>1042_SUP</t>
  </si>
  <si>
    <t>Uninflated Fixtures Cost</t>
  </si>
  <si>
    <t>uninflatedFixturesCost</t>
  </si>
  <si>
    <t>(fixturesCostasPctofNetSales * netSales)</t>
  </si>
  <si>
    <t>733_SUP</t>
  </si>
  <si>
    <t>Fixtures Cost as % of Net Sales</t>
  </si>
  <si>
    <t>fixturesCostasPctofNetSales</t>
  </si>
  <si>
    <t>(uninflatedFixturesCost / netSales)</t>
  </si>
  <si>
    <t>2004_SUP</t>
  </si>
  <si>
    <t>Supply Chain Fixtures Cost</t>
  </si>
  <si>
    <t>supplyChainFixturesCost</t>
  </si>
  <si>
    <t>(supplyChain904ScalingNode * supplyChainFixturesCostmonthlocation)</t>
  </si>
  <si>
    <t>212_SUP</t>
  </si>
  <si>
    <t>Supply Chain 9.04 Scaling Node</t>
  </si>
  <si>
    <t>supplyChain904ScalingNode</t>
  </si>
  <si>
    <t>(supplyChainFixturesCost / supplyChainFixturesCostmonthlocation)</t>
  </si>
  <si>
    <t>(supplyChain904SOTgrain / supplyChain904SOTmonthlocation)</t>
  </si>
  <si>
    <t>213_SUP</t>
  </si>
  <si>
    <t>Supply Chain 9.04 SOT (month,location)</t>
  </si>
  <si>
    <t>supplyChain904SOTmonthlocation</t>
  </si>
  <si>
    <t>{"node_x":["supplyChain904SOTgrain"]}</t>
  </si>
  <si>
    <t>214_SUP</t>
  </si>
  <si>
    <t>Supply Chain 9.04 SOT (grain)</t>
  </si>
  <si>
    <t>supplyChain904SOTgrain</t>
  </si>
  <si>
    <t>_904FixturesSOT</t>
  </si>
  <si>
    <t>82_SGAA</t>
  </si>
  <si>
    <t>215_SUP</t>
  </si>
  <si>
    <t>Supply Chain Fixtures Cost (month, location)</t>
  </si>
  <si>
    <t>supplyChainFixturesCostmonthlocation</t>
  </si>
  <si>
    <t>{"node_x":["scfixtures904"]}</t>
  </si>
  <si>
    <t>888_SUP</t>
  </si>
  <si>
    <t>eComm Fixtures Cost</t>
  </si>
  <si>
    <t>eCommFixturesCost</t>
  </si>
  <si>
    <t>(fCFixturesCost + brandsFixturesCost + othereCommFixturesCost)</t>
  </si>
  <si>
    <t>153_SUP</t>
  </si>
  <si>
    <t>FC Fixtures Cost</t>
  </si>
  <si>
    <t>fCFixturesCost</t>
  </si>
  <si>
    <t>(fCFixturesInflation * uninflatedFCFixturesCost)</t>
  </si>
  <si>
    <t>973_SUP</t>
  </si>
  <si>
    <t>FC Fixtures Inflation</t>
  </si>
  <si>
    <t>fCFixturesInflation</t>
  </si>
  <si>
    <t>(fCFixturesCost / uninflatedFCFixturesCost)</t>
  </si>
  <si>
    <t>999_SUP</t>
  </si>
  <si>
    <t>Uninflated FC Fixtures Cost</t>
  </si>
  <si>
    <t>uninflatedFCFixturesCost</t>
  </si>
  <si>
    <t>(nonPackagingCosts * allocatedfixturescostperpackage * packagesSupplies)</t>
  </si>
  <si>
    <t>795_SUP</t>
  </si>
  <si>
    <t>Allocated fixtures cost per package</t>
  </si>
  <si>
    <t>allocatedfixturescostperpackage</t>
  </si>
  <si>
    <t>uninflatedFCFixturesCost/(nonPackagingCosts*packages)</t>
  </si>
  <si>
    <t>1065_SUP</t>
  </si>
  <si>
    <t>Brands Fixtures Cost</t>
  </si>
  <si>
    <t>brandsFixturesCost</t>
  </si>
  <si>
    <t>1107_SUP</t>
  </si>
  <si>
    <t>Other eComm Fixtures Cost</t>
  </si>
  <si>
    <t>othereCommFixturesCost</t>
  </si>
  <si>
    <t>8282_SGAA</t>
  </si>
  <si>
    <t>Other Fixtures Cost (non-driver based)</t>
  </si>
  <si>
    <t>otherFixturesCostnondriverbased</t>
  </si>
  <si>
    <t>500905_UFM</t>
  </si>
  <si>
    <t>[09.05] Uniforms and Floor Mats</t>
  </si>
  <si>
    <t>_905UniformsandFloorMats</t>
  </si>
  <si>
    <t>(storeUniformsCost + supplyChainUniformsCost + eCommUniformsCost + otherUniformsCostnondriverbased)</t>
  </si>
  <si>
    <t>555_SUP</t>
  </si>
  <si>
    <t>Store Uniforms Cost</t>
  </si>
  <si>
    <t>storeUniformsCost</t>
  </si>
  <si>
    <t>(1 + storeUniformsInflation) * (uninflatedUniformsCost) * (storeUniformsScalingNode)</t>
  </si>
  <si>
    <t>3000_SUP</t>
  </si>
  <si>
    <t>Store Uniforms Scaling Node</t>
  </si>
  <si>
    <t>storeUniformsScalingNode</t>
  </si>
  <si>
    <t>storeUniformsCost /((1 +storeUniformsInflation)* uninflatedUniformsCost)</t>
  </si>
  <si>
    <t>(storeOps905SOTgrain / storeUniforms905SOTmonth)</t>
  </si>
  <si>
    <t>3001_SUP</t>
  </si>
  <si>
    <t>Store Uniforms 9.05 SOT (month)</t>
  </si>
  <si>
    <t>storeUniforms905SOTmonth</t>
  </si>
  <si>
    <t>{"node_x":["storeOps905SOTgrain"]}</t>
  </si>
  <si>
    <t>3002_SUP</t>
  </si>
  <si>
    <t>Store Ops 9.05 SOT (grain)</t>
  </si>
  <si>
    <t>storeOps905SOTgrain</t>
  </si>
  <si>
    <t>_905UniformsandFloorMatsSOT</t>
  </si>
  <si>
    <t>1035_SUP</t>
  </si>
  <si>
    <t>Store Uniforms Inflation</t>
  </si>
  <si>
    <t>storeUniformsInflation</t>
  </si>
  <si>
    <t>(storeUniformsCost / uninflatedUniformsCost)</t>
  </si>
  <si>
    <t>940_SUP</t>
  </si>
  <si>
    <t>Uninflated Uniforms Cost</t>
  </si>
  <si>
    <t>uninflatedUniformsCost</t>
  </si>
  <si>
    <t>(cintasuniformscost + araMarkuniformscost + bunzluniformscost + otheruniformscost)</t>
  </si>
  <si>
    <t>557_SUP</t>
  </si>
  <si>
    <t>Cintas uniforms cost</t>
  </si>
  <si>
    <t>cintasuniformscost</t>
  </si>
  <si>
    <t>558_SUP</t>
  </si>
  <si>
    <t>AraMark uniforms cost</t>
  </si>
  <si>
    <t>araMarkuniformscost</t>
  </si>
  <si>
    <t>559_SUP</t>
  </si>
  <si>
    <t>Bunzl uniforms cost</t>
  </si>
  <si>
    <t>bunzluniformscost</t>
  </si>
  <si>
    <t>560_SUP</t>
  </si>
  <si>
    <t>Other uniforms cost</t>
  </si>
  <si>
    <t>otheruniformscost</t>
  </si>
  <si>
    <t>2005_SUP</t>
  </si>
  <si>
    <t>Supply Chain Uniforms Cost</t>
  </si>
  <si>
    <t>supplyChainUniformsCost</t>
  </si>
  <si>
    <t>(supplyChain905ScalingNode * supplyChainUniformsCostmonthlocation)</t>
  </si>
  <si>
    <t>216_SUP</t>
  </si>
  <si>
    <t>Supply Chain 9.05 Scaling Node</t>
  </si>
  <si>
    <t>supplyChain905ScalingNode</t>
  </si>
  <si>
    <t>(supplyChainUniformsCost / supplyChainUniformsCostmonthlocation)</t>
  </si>
  <si>
    <t>(supplyChain905SOTgrain / supplyChain905SOTmonthlocation)</t>
  </si>
  <si>
    <t>217_SUP</t>
  </si>
  <si>
    <t>Supply Chain 9.05 SOT (month,location)</t>
  </si>
  <si>
    <t>supplyChain905SOTmonthlocation</t>
  </si>
  <si>
    <t>{"node_x":["supplyChain905SOTgrain"]}</t>
  </si>
  <si>
    <t>218_SUP</t>
  </si>
  <si>
    <t>Supply Chain 9.05 SOT (grain)</t>
  </si>
  <si>
    <t>supplyChain905SOTgrain</t>
  </si>
  <si>
    <t>83_SGAA</t>
  </si>
  <si>
    <t>219_SUP</t>
  </si>
  <si>
    <t>Supply Chain Uniforms Cost (month, location)</t>
  </si>
  <si>
    <t>supplyChainUniformsCostmonthlocation</t>
  </si>
  <si>
    <t>{"node_x":["scuniformsandFloorMats905"]}</t>
  </si>
  <si>
    <t>862_SUP</t>
  </si>
  <si>
    <t>eComm Uniforms Cost</t>
  </si>
  <si>
    <t>eCommUniformsCost</t>
  </si>
  <si>
    <t>(fCUniformsCost + othereCommUniformsCost)</t>
  </si>
  <si>
    <t>192_SUP</t>
  </si>
  <si>
    <t>FC Uniforms Cost</t>
  </si>
  <si>
    <t>fCUniformsCost</t>
  </si>
  <si>
    <t>(fCUniformsInflation * uninflatedFCUniformsCost)</t>
  </si>
  <si>
    <t>974_SUP</t>
  </si>
  <si>
    <t>FC Uniforms Inflation</t>
  </si>
  <si>
    <t>fCUniformsInflation</t>
  </si>
  <si>
    <t>(fCUniformsCost / uninflatedFCUniformsCost)</t>
  </si>
  <si>
    <t>683_SUP</t>
  </si>
  <si>
    <t>Uninflated FC Uniforms Cost</t>
  </si>
  <si>
    <t>uninflatedFCUniformsCost</t>
  </si>
  <si>
    <t>1108_SUP</t>
  </si>
  <si>
    <t>Other eComm Uniforms Cost</t>
  </si>
  <si>
    <t>othereCommUniformsCost</t>
  </si>
  <si>
    <t>8383_SGAA</t>
  </si>
  <si>
    <t>Other Uniforms Cost (non-driver based)</t>
  </si>
  <si>
    <t>otherUniformsCostnondriverbased</t>
  </si>
  <si>
    <t>500906_UFM</t>
  </si>
  <si>
    <t>[09.06] Off Shelf and Retail Purchased Supplies</t>
  </si>
  <si>
    <t>_906OffShelfandRetailPurchasedSupplies</t>
  </si>
  <si>
    <t>(storeOffShelfandRetailCost + supplyChainOffShelfandRetailCost + eCommOffShelfandRetailCost + otherOffShelfandRetailCostnondriverbased)</t>
  </si>
  <si>
    <t>561_SUP</t>
  </si>
  <si>
    <t>Store Off Shelf &amp; Retail Cost</t>
  </si>
  <si>
    <t>storeOffShelfandRetailCost</t>
  </si>
  <si>
    <t>(storeOffShelfandRetailInflation * uninflatedOffShelfandRetailCost)</t>
  </si>
  <si>
    <t>1037_SUP</t>
  </si>
  <si>
    <t>Store Off Shelf &amp; Retail Inflation</t>
  </si>
  <si>
    <t>storeOffShelfandRetailInflation</t>
  </si>
  <si>
    <t>(storeOffShelfandRetailCost / uninflatedOffShelfandRetailCost)</t>
  </si>
  <si>
    <t>1038_SUP</t>
  </si>
  <si>
    <t>Uninflated Off Shelf &amp; Retail Cost</t>
  </si>
  <si>
    <t>uninflatedOffShelfandRetailCost</t>
  </si>
  <si>
    <t>(offShelfandRetailCostasPctofNetSales * netSales)</t>
  </si>
  <si>
    <t>732_SUP</t>
  </si>
  <si>
    <t>Off Shelf &amp; Retail Cost as % of Net Sales</t>
  </si>
  <si>
    <t>offShelfandRetailCostasPctofNetSales</t>
  </si>
  <si>
    <t>(uninflatedOffShelfandRetailCost / netSales)</t>
  </si>
  <si>
    <t>2006_SUP</t>
  </si>
  <si>
    <t>Supply Chain Off Shelf &amp; Retail Cost</t>
  </si>
  <si>
    <t>supplyChainOffShelfandRetailCost</t>
  </si>
  <si>
    <t>(supplyChain906ScalingNode * supplyChainOffShelfandRetailCostmonthlocation)</t>
  </si>
  <si>
    <t>220_SUP</t>
  </si>
  <si>
    <t>Supply Chain 9.06 Scaling Node</t>
  </si>
  <si>
    <t>supplyChain906ScalingNode</t>
  </si>
  <si>
    <t>(supplyChainOffShelfandRetailCost / supplyChainOffShelfandRetailCostmonthlocation)</t>
  </si>
  <si>
    <t>(supplyChain906SOTgrain / supplyChain906SOTmonthlocation)</t>
  </si>
  <si>
    <t>221_SUP</t>
  </si>
  <si>
    <t>Supply Chain 9.06 SOT (month,location)</t>
  </si>
  <si>
    <t>supplyChain906SOTmonthlocation</t>
  </si>
  <si>
    <t>{"node_x":["supplyChain906SOTgrain"]}</t>
  </si>
  <si>
    <t>222_SUP</t>
  </si>
  <si>
    <t>Supply Chain 9.06 SOT (grain)</t>
  </si>
  <si>
    <t>supplyChain906SOTgrain</t>
  </si>
  <si>
    <t>_906OffShelfandRetailPurchasedSuppliesSOT</t>
  </si>
  <si>
    <t>84_SGAA</t>
  </si>
  <si>
    <t>223_SUP</t>
  </si>
  <si>
    <t>Supply Chain Off Shelf &amp; Retail Cost (month, location)</t>
  </si>
  <si>
    <t>supplyChainOffShelfandRetailCostmonthlocation</t>
  </si>
  <si>
    <t>{"node_x":["scoffShelfandRetailPurchasedSupplies906"]}</t>
  </si>
  <si>
    <t>896_SUP</t>
  </si>
  <si>
    <t>eComm Off Shelf &amp; Retail Cost</t>
  </si>
  <si>
    <t>eCommOffShelfandRetailCost</t>
  </si>
  <si>
    <t>(fCOffShelfandRetailCost + brandsOffShelfandRetailCost + othereCommOffShelfandRetailCost)</t>
  </si>
  <si>
    <t>231_SUP</t>
  </si>
  <si>
    <t>FC Off Shelf &amp; Retail Cost</t>
  </si>
  <si>
    <t>fCOffShelfandRetailCost</t>
  </si>
  <si>
    <t>(fCOffShelfandRetailInflation * uninflatedFCOffShelfandRetailCost)</t>
  </si>
  <si>
    <t>975_SUP</t>
  </si>
  <si>
    <t>FC Off Shelf &amp; Retail Inflation</t>
  </si>
  <si>
    <t>fCOffShelfandRetailInflation</t>
  </si>
  <si>
    <t>(fCOffShelfandRetailCost / uninflatedFCOffShelfandRetailCost)</t>
  </si>
  <si>
    <t>684_SUP</t>
  </si>
  <si>
    <t>Uninflated FC Off Shelf &amp; Retail Cost</t>
  </si>
  <si>
    <t>uninflatedFCOffShelfandRetailCost</t>
  </si>
  <si>
    <t>fCOffShelfandRetailCost/fCOffShelfandRetailInflation</t>
  </si>
  <si>
    <t>1067_SUP</t>
  </si>
  <si>
    <t>Brands Off Shelf &amp; Retail Cost</t>
  </si>
  <si>
    <t>brandsOffShelfandRetailCost</t>
  </si>
  <si>
    <t>1109_SUP</t>
  </si>
  <si>
    <t>Other eComm Off Shelf &amp; Retail Cost</t>
  </si>
  <si>
    <t>othereCommOffShelfandRetailCost</t>
  </si>
  <si>
    <t>8484_SGAA</t>
  </si>
  <si>
    <t>Other Off Shelf &amp; Retail Cost (non-driver based)</t>
  </si>
  <si>
    <t>otherOffShelfandRetailCostnondriverbased</t>
  </si>
  <si>
    <t>5009007_UFM</t>
  </si>
  <si>
    <t>[09.07] Cleaning and Restroom Supplies</t>
  </si>
  <si>
    <t>_907CleaningandRestroomSupplies</t>
  </si>
  <si>
    <t>(storeCleaningandRestroomCost + supplyChainCleaningandRestroomCost + eCommCleaningandRestroomCost + otherCleaningandRestroomCostnondriverbased)</t>
  </si>
  <si>
    <t>552_SUP</t>
  </si>
  <si>
    <t>Store Cleaning and Restroom Cost</t>
  </si>
  <si>
    <t>storeCleaningandRestroomCost</t>
  </si>
  <si>
    <t>(storeCleaningandRestroomInflation * uninflatedCleaningandRestroomCost)</t>
  </si>
  <si>
    <t>1033_SUP</t>
  </si>
  <si>
    <t>Store Cleaning and Restroom Inflation</t>
  </si>
  <si>
    <t>storeCleaningandRestroomInflation</t>
  </si>
  <si>
    <t>(storeCleaningandRestroomCost / uninflatedCleaningandRestroomCost)</t>
  </si>
  <si>
    <t>1034_SUP</t>
  </si>
  <si>
    <t>Uninflated Cleaning and Restroom Cost</t>
  </si>
  <si>
    <t>uninflatedCleaningandRestroomCost</t>
  </si>
  <si>
    <t>(cleaningandRestroomCostasPctofNetSales * netSales)</t>
  </si>
  <si>
    <t>554_SUP</t>
  </si>
  <si>
    <t>Cleaning and Restroom Cost as % of Net Sales</t>
  </si>
  <si>
    <t>cleaningandRestroomCostasPctofNetSales</t>
  </si>
  <si>
    <t>(uninflatedCleaningandRestroomCost / netSales)</t>
  </si>
  <si>
    <t>2007_SUP</t>
  </si>
  <si>
    <t>Supply Chain Cleaning and Restroom Cost</t>
  </si>
  <si>
    <t>supplyChainCleaningandRestroomCost</t>
  </si>
  <si>
    <t>(supplyChain907ScalingNode * supplyChainCleaningandRestroomCostmonthlocation)</t>
  </si>
  <si>
    <t>224_SUP</t>
  </si>
  <si>
    <t>Supply Chain 9.07 Scaling Node</t>
  </si>
  <si>
    <t>supplyChain907ScalingNode</t>
  </si>
  <si>
    <t>(supplyChainCleaningandRestroomCost / supplyChainCleaningandRestroomCostmonthlocation)</t>
  </si>
  <si>
    <t>(supplyChain907SOTgrain / supplyChain907SOTmonthlocation)</t>
  </si>
  <si>
    <t>225_SUP</t>
  </si>
  <si>
    <t>Supply Chain 9.07 SOT (month,location)</t>
  </si>
  <si>
    <t>supplyChain907SOTmonthlocation</t>
  </si>
  <si>
    <t>{"node_x":["supplyChain907SOTgrain"]}</t>
  </si>
  <si>
    <t>226_SUP</t>
  </si>
  <si>
    <t>Supply Chain 9.07 SOT (grain)</t>
  </si>
  <si>
    <t>supplyChain907SOTgrain</t>
  </si>
  <si>
    <t>_907CleaningandRestroomSuppliesSOT</t>
  </si>
  <si>
    <t>85_SGAA</t>
  </si>
  <si>
    <t>227_SUP</t>
  </si>
  <si>
    <t>Supply Chain Cleaning and Restroom Cost (month, location)</t>
  </si>
  <si>
    <t>supplyChainCleaningandRestroomCostmonthlocation</t>
  </si>
  <si>
    <t>{"node_x":["sccleaningandRestroomSupplies907"]}</t>
  </si>
  <si>
    <t>900_SUP</t>
  </si>
  <si>
    <t>eComm Cleaning and Restroom Cost</t>
  </si>
  <si>
    <t>eCommCleaningandRestroomCost</t>
  </si>
  <si>
    <t>(fCCleaningandRestroomCost + brandsCleaningandRestroomCost + othereCommCleaningandRestroomCost)</t>
  </si>
  <si>
    <t>270_SUP</t>
  </si>
  <si>
    <t>FC Cleaning and Restroom Cost</t>
  </si>
  <si>
    <t>fCCleaningandRestroomCost</t>
  </si>
  <si>
    <t>(fCCleaningandRestroomInflation * uninflatedFCCleaningandRestroomCost)</t>
  </si>
  <si>
    <t>976_SUP</t>
  </si>
  <si>
    <t>FC Cleaning and Restroom Inflation</t>
  </si>
  <si>
    <t>fCCleaningandRestroomInflation</t>
  </si>
  <si>
    <t>(fCCleaningandRestroomCost / uninflatedFCCleaningandRestroomCost)</t>
  </si>
  <si>
    <t>685_SUP</t>
  </si>
  <si>
    <t>Uninflated FC Cleaning and Restroom Cost</t>
  </si>
  <si>
    <t>uninflatedFCCleaningandRestroomCost</t>
  </si>
  <si>
    <t>fCCleaningandRestroomCost/fCCleaningandRestroomInflation</t>
  </si>
  <si>
    <t>1068_SUP</t>
  </si>
  <si>
    <t>Brands Cleaning and Restroom Cost</t>
  </si>
  <si>
    <t>brandsCleaningandRestroomCost</t>
  </si>
  <si>
    <t>1110_SUP</t>
  </si>
  <si>
    <t>Other eComm Cleaning and Restroom Cost</t>
  </si>
  <si>
    <t>othereCommCleaningandRestroomCost</t>
  </si>
  <si>
    <t>8585_SGAA</t>
  </si>
  <si>
    <t>Other Cleaning and Restroom Cost (non-driver based)</t>
  </si>
  <si>
    <t>otherCleaningandRestroomCostnondriverbased</t>
  </si>
  <si>
    <t>5009008_UFM</t>
  </si>
  <si>
    <t>[09.08] Backroom</t>
  </si>
  <si>
    <t>_908Backroom</t>
  </si>
  <si>
    <t>(storeBackroomCost + supplyChainBackroomCost + eCommBackroomCost + otherBackroomCostnondriverbased)</t>
  </si>
  <si>
    <t>537_SUP</t>
  </si>
  <si>
    <t>Store Backroom Cost</t>
  </si>
  <si>
    <t>storeBackroomCost</t>
  </si>
  <si>
    <t>(storeBackroomInflation * uninflatedBackroomCost)</t>
  </si>
  <si>
    <t>1023_SUP</t>
  </si>
  <si>
    <t>Store Backroom Inflation</t>
  </si>
  <si>
    <t>storeBackroomInflation</t>
  </si>
  <si>
    <t>(storeBackroomCost / uninflatedBackroomCost)</t>
  </si>
  <si>
    <t>1024_SUP</t>
  </si>
  <si>
    <t>Uninflated Backroom Cost</t>
  </si>
  <si>
    <t>uninflatedBackroomCost</t>
  </si>
  <si>
    <t>(backroomCostasPctofNetSales * netSales)</t>
  </si>
  <si>
    <t>539_SUP</t>
  </si>
  <si>
    <t>Backroom Cost as % of Net Sales</t>
  </si>
  <si>
    <t>backroomCostasPctofNetSales</t>
  </si>
  <si>
    <t>(uninflatedBackroomCost / netSales)</t>
  </si>
  <si>
    <t>2008_SUP</t>
  </si>
  <si>
    <t>Supply Chain Backroom Cost</t>
  </si>
  <si>
    <t>supplyChainBackroomCost</t>
  </si>
  <si>
    <t>(supplyChain908ScalingNode * supplyChainBackroomCostmonthlocation)</t>
  </si>
  <si>
    <t>228_SUP</t>
  </si>
  <si>
    <t>Supply Chain 9.08 Scaling Node</t>
  </si>
  <si>
    <t>supplyChain908ScalingNode</t>
  </si>
  <si>
    <t>(supplyChainBackroomCost / supplyChainBackroomCostmonthlocation)</t>
  </si>
  <si>
    <t>(supplyChain908SOTgrain / supplyChain908SOTmonthlocation)</t>
  </si>
  <si>
    <t>229_SUP</t>
  </si>
  <si>
    <t>Supply Chain 9.08 SOT (month,location)</t>
  </si>
  <si>
    <t>supplyChain908SOTmonthlocation</t>
  </si>
  <si>
    <t>{"node_x":["supplyChain908SOTgrain"]}</t>
  </si>
  <si>
    <t>230_SUP</t>
  </si>
  <si>
    <t>Supply Chain 9.08 SOT (grain)</t>
  </si>
  <si>
    <t>supplyChain908SOTgrain</t>
  </si>
  <si>
    <t>_908BackroomSOT</t>
  </si>
  <si>
    <t>86_SGAA</t>
  </si>
  <si>
    <t>305_SUP</t>
  </si>
  <si>
    <t>Supply Chain Backroom Cost (month, location)</t>
  </si>
  <si>
    <t>supplyChainBackroomCostmonthlocation</t>
  </si>
  <si>
    <t>{"node_x":["scbackroom908"]}</t>
  </si>
  <si>
    <t>904_SUP</t>
  </si>
  <si>
    <t>eComm Backroom Cost</t>
  </si>
  <si>
    <t>eCommBackroomCost</t>
  </si>
  <si>
    <t>(fCBackroomCost + brandsBackroomCost + othereCommBackroomCost)</t>
  </si>
  <si>
    <t>309_SUP</t>
  </si>
  <si>
    <t>FC Backroom Cost</t>
  </si>
  <si>
    <t>fCBackroomCost</t>
  </si>
  <si>
    <t>(fCBackroomInflation * uninflatedFCBackroomCost)</t>
  </si>
  <si>
    <t>977_SUP</t>
  </si>
  <si>
    <t>FC Backroom Inflation</t>
  </si>
  <si>
    <t>fCBackroomInflation</t>
  </si>
  <si>
    <t>(fCBackroomCost / uninflatedFCBackroomCost)</t>
  </si>
  <si>
    <t>686_SUP</t>
  </si>
  <si>
    <t>Uninflated FC Backroom Cost</t>
  </si>
  <si>
    <t>uninflatedFCBackroomCost</t>
  </si>
  <si>
    <t>fCBackroomCost/fCBackroomInflation</t>
  </si>
  <si>
    <t>1069_SUP</t>
  </si>
  <si>
    <t>Brands Backroom Cost</t>
  </si>
  <si>
    <t>brandsBackroomCost</t>
  </si>
  <si>
    <t>1111_SUP</t>
  </si>
  <si>
    <t>Other eComm Backroom Cost</t>
  </si>
  <si>
    <t>othereCommBackroomCost</t>
  </si>
  <si>
    <t>8686_SGAA</t>
  </si>
  <si>
    <t>Other Backroom Cost (non-driver based)</t>
  </si>
  <si>
    <t>otherBackroomCostnondriverbased</t>
  </si>
  <si>
    <t>5009009_UFM</t>
  </si>
  <si>
    <t>[09.09] Office Supplies and Receipts</t>
  </si>
  <si>
    <t>_909OfficeSuppliesandReceipts</t>
  </si>
  <si>
    <t>(storeOfficeSuppliesCost + supplyChainOfficeSuppliesCost + eCommOfficeSuppliesCost + otherOfficeSuppliesCostnondriverbased)</t>
  </si>
  <si>
    <t>540_SUP</t>
  </si>
  <si>
    <t>Store Office Supplies Cost</t>
  </si>
  <si>
    <t>storeOfficeSuppliesCost</t>
  </si>
  <si>
    <t>(storeOfficeSuppliesInflation * uninflatedOfficeSuppliesCost)</t>
  </si>
  <si>
    <t>1025_SUP</t>
  </si>
  <si>
    <t>Store Office Supplies Inflation</t>
  </si>
  <si>
    <t>storeOfficeSuppliesInflation</t>
  </si>
  <si>
    <t>(storeOfficeSuppliesCost / uninflatedOfficeSuppliesCost)</t>
  </si>
  <si>
    <t>1026_SUP</t>
  </si>
  <si>
    <t>Uninflated Office Supplies Cost</t>
  </si>
  <si>
    <t>uninflatedOfficeSuppliesCost</t>
  </si>
  <si>
    <t>(officeSuppliesCostasPctofNetSales * netSales)</t>
  </si>
  <si>
    <t>542_SUP</t>
  </si>
  <si>
    <t>Office Supplies Cost as % of Net Sales</t>
  </si>
  <si>
    <t>officeSuppliesCostasPctofNetSales</t>
  </si>
  <si>
    <t>(uninflatedOfficeSuppliesCost / netSales)</t>
  </si>
  <si>
    <t>2009_SUP</t>
  </si>
  <si>
    <t>Supply Chain Office Supplies Cost</t>
  </si>
  <si>
    <t>supplyChainOfficeSuppliesCost</t>
  </si>
  <si>
    <t>(supplyChain909ScalingNode * supplyChainOfficeSuppliesCostmonthlocation)</t>
  </si>
  <si>
    <t>232_SUP</t>
  </si>
  <si>
    <t>Supply Chain 9.09 Scaling Node</t>
  </si>
  <si>
    <t>supplyChain909ScalingNode</t>
  </si>
  <si>
    <t>(supplyChainOfficeSuppliesCost / supplyChainOfficeSuppliesCostmonthlocation)</t>
  </si>
  <si>
    <t>(supplyChain909SOTgrain / supplyChain909SOTmonthlocation)</t>
  </si>
  <si>
    <t>233_SUP</t>
  </si>
  <si>
    <t>Supply Chain 9.09 SOT (month,location)</t>
  </si>
  <si>
    <t>supplyChain909SOTmonthlocation</t>
  </si>
  <si>
    <t>{"node_x":["supplyChain909SOTgrain"]}</t>
  </si>
  <si>
    <t>234_SUP</t>
  </si>
  <si>
    <t>Supply Chain 9.09 SOT (grain)</t>
  </si>
  <si>
    <t>supplyChain909SOTgrain</t>
  </si>
  <si>
    <t>_909OfficeSuppliesandReceiptsSOT</t>
  </si>
  <si>
    <t>87_SGAA</t>
  </si>
  <si>
    <t>235_SUP</t>
  </si>
  <si>
    <t>Supply Chain Office Supplies Cost (month, location)</t>
  </si>
  <si>
    <t>supplyChainOfficeSuppliesCostmonthlocation</t>
  </si>
  <si>
    <t>{"node_x":["scofficeSuppliesandReceipts909"]}</t>
  </si>
  <si>
    <t>908_SUP</t>
  </si>
  <si>
    <t>eComm Office Supplies Cost</t>
  </si>
  <si>
    <t>eCommOfficeSuppliesCost</t>
  </si>
  <si>
    <t>(fCOfficeSuppliesCost + brandsOfficeSuppliesCost + othereCommOfficeSuppliesCost)</t>
  </si>
  <si>
    <t>348_SUP</t>
  </si>
  <si>
    <t>FC Office Supplies Cost</t>
  </si>
  <si>
    <t>fCOfficeSuppliesCost</t>
  </si>
  <si>
    <t>(fCOfficeSuppliesInflation * uninflatedFCOfficeSuppliesCost)</t>
  </si>
  <si>
    <t>978_SUP</t>
  </si>
  <si>
    <t>FC Office Supplies Inflation</t>
  </si>
  <si>
    <t>fCOfficeSuppliesInflation</t>
  </si>
  <si>
    <t>(fCOfficeSuppliesCost / uninflatedFCOfficeSuppliesCost)</t>
  </si>
  <si>
    <t>687_SUP</t>
  </si>
  <si>
    <t>Uninflated FC Office Supplies Cost</t>
  </si>
  <si>
    <t>uninflatedFCOfficeSuppliesCost</t>
  </si>
  <si>
    <t>fCOfficeSuppliesCost/fCOfficeSuppliesInflation</t>
  </si>
  <si>
    <t>1070_SUP</t>
  </si>
  <si>
    <t>Brands Office Supplies Cost</t>
  </si>
  <si>
    <t>brandsOfficeSuppliesCost</t>
  </si>
  <si>
    <t>1112_SUP</t>
  </si>
  <si>
    <t>Other eComm Office Supplies Cost</t>
  </si>
  <si>
    <t>othereCommOfficeSuppliesCost</t>
  </si>
  <si>
    <t>8787_SGAA</t>
  </si>
  <si>
    <t>Other Office Supplies Cost (non-driver based)</t>
  </si>
  <si>
    <t>otherOfficeSuppliesCostnondriverbased</t>
  </si>
  <si>
    <t>5009010_UFM</t>
  </si>
  <si>
    <t>[09.10] Customer Relations Expense</t>
  </si>
  <si>
    <t>_910CustomerRelationsExpense</t>
  </si>
  <si>
    <t>(storeCustomerRelationsCost + supplyChainCustomerRelationsCost + eCommCustomerRelationsCost + otherCustomerRelationsCostnondriverbased)</t>
  </si>
  <si>
    <t>543_SUP</t>
  </si>
  <si>
    <t>Store Customer Relations Cost</t>
  </si>
  <si>
    <t>storeCustomerRelationsCost</t>
  </si>
  <si>
    <t>(storeCustomerRelationsInflation * uninflatedCustomerRelationsCost)</t>
  </si>
  <si>
    <t>1027_SUP</t>
  </si>
  <si>
    <t>Store Customer Relations Inflation</t>
  </si>
  <si>
    <t>storeCustomerRelationsInflation</t>
  </si>
  <si>
    <t>(storeCustomerRelationsCost / uninflatedCustomerRelationsCost)</t>
  </si>
  <si>
    <t>1028_SUP</t>
  </si>
  <si>
    <t>Uninflated Customer Relations Cost</t>
  </si>
  <si>
    <t>uninflatedCustomerRelationsCost</t>
  </si>
  <si>
    <t>(customerRelationsCostasPctofNetSales * netSales)</t>
  </si>
  <si>
    <t>545_SUP</t>
  </si>
  <si>
    <t>Customer Relations Cost as % of Net Sales</t>
  </si>
  <si>
    <t>customerRelationsCostasPctofNetSales</t>
  </si>
  <si>
    <t>(uninflatedCustomerRelationsCost / netSales)</t>
  </si>
  <si>
    <t>2010_SUP</t>
  </si>
  <si>
    <t>Supply Chain Customer Relations Cost</t>
  </si>
  <si>
    <t>supplyChainCustomerRelationsCost</t>
  </si>
  <si>
    <t>(supplyChain910ScalingNode * supplyChainCustomerRelationsCostmonthlocation)</t>
  </si>
  <si>
    <t>236_SUP</t>
  </si>
  <si>
    <t>Supply Chain 9.10 Scaling Node</t>
  </si>
  <si>
    <t>supplyChain910ScalingNode</t>
  </si>
  <si>
    <t>(supplyChainCustomerRelationsCost / supplyChainCustomerRelationsCostmonthlocation)</t>
  </si>
  <si>
    <t>(supplyChain910SOTgrain / supplyChain910SOTmonthlocation)</t>
  </si>
  <si>
    <t>237_SUP</t>
  </si>
  <si>
    <t>Supply Chain 9.10 SOT (month,location)</t>
  </si>
  <si>
    <t>supplyChain910SOTmonthlocation</t>
  </si>
  <si>
    <t>{"node_x":["supplyChain910SOTgrain"]}</t>
  </si>
  <si>
    <t>238_SUP</t>
  </si>
  <si>
    <t>Supply Chain 9.10 SOT (grain)</t>
  </si>
  <si>
    <t>supplyChain910SOTgrain</t>
  </si>
  <si>
    <t>_910CustomerRelationsExpenseSOT</t>
  </si>
  <si>
    <t>88_SGAA</t>
  </si>
  <si>
    <t>239_SUP</t>
  </si>
  <si>
    <t>Supply Chain Customer Relations Cost (month, location)</t>
  </si>
  <si>
    <t>supplyChainCustomerRelationsCostmonthlocation</t>
  </si>
  <si>
    <t>{"node_x":["sccustomerRelationsExpense910"]}</t>
  </si>
  <si>
    <t>912_SUP</t>
  </si>
  <si>
    <t>eComm Customer Relations Cost</t>
  </si>
  <si>
    <t>eCommCustomerRelationsCost</t>
  </si>
  <si>
    <t>(fCCustomerRelationsCost + brandsCustomerRelationsCost + othereCommCustomerRelationsCost)</t>
  </si>
  <si>
    <t>387_SUP</t>
  </si>
  <si>
    <t>FC Customer Relations Cost</t>
  </si>
  <si>
    <t>fCCustomerRelationsCost</t>
  </si>
  <si>
    <t>(fCCustomerRelationsInflation * uninflatedFCCustomerRelationsCost)</t>
  </si>
  <si>
    <t>979_SUP</t>
  </si>
  <si>
    <t>FC Customer Relations Inflation</t>
  </si>
  <si>
    <t>fCCustomerRelationsInflation</t>
  </si>
  <si>
    <t>(fCCustomerRelationsCost / uninflatedFCCustomerRelationsCost)</t>
  </si>
  <si>
    <t>688_SUP</t>
  </si>
  <si>
    <t>Uninflated FC Customer Relations Cost</t>
  </si>
  <si>
    <t>uninflatedFCCustomerRelationsCost</t>
  </si>
  <si>
    <t>fCCustomerRelationsCost/fCCustomerRelationsInflation</t>
  </si>
  <si>
    <t>1071_SUP</t>
  </si>
  <si>
    <t>Brands Customer Relations Cost</t>
  </si>
  <si>
    <t>brandsCustomerRelationsCost</t>
  </si>
  <si>
    <t>1113_SUP</t>
  </si>
  <si>
    <t>Other eComm Customer Relations Cost</t>
  </si>
  <si>
    <t>othereCommCustomerRelationsCost</t>
  </si>
  <si>
    <t>888_SGAA</t>
  </si>
  <si>
    <t>Other Customer Relations Cost (non-driver based)</t>
  </si>
  <si>
    <t>otherCustomerRelationsCostnondriverbased</t>
  </si>
  <si>
    <t>5009011_UFM</t>
  </si>
  <si>
    <t>[09.11] Shipping/Pallets and Postal/Courier</t>
  </si>
  <si>
    <t>_911ShippingPalletsandPostalCourier</t>
  </si>
  <si>
    <t>(storeShippingPalletsCost + supplyChainShippingPalletsCost + eCommShippingPalletsCost + otherShippingPalletsCostnondriverbased)</t>
  </si>
  <si>
    <t>549_SUP</t>
  </si>
  <si>
    <t>Store Shipping/Pallets Cost</t>
  </si>
  <si>
    <t>storeShippingPalletsCost</t>
  </si>
  <si>
    <t>(storeShippingPalletsInflation * uninflatedShippingPalletsCost)</t>
  </si>
  <si>
    <t>1031_SUP</t>
  </si>
  <si>
    <t>Store Shipping/Pallets Inflation</t>
  </si>
  <si>
    <t>storeShippingPalletsInflation</t>
  </si>
  <si>
    <t>(storeShippingPalletsCost / uninflatedShippingPalletsCost)</t>
  </si>
  <si>
    <t>1032_SUP</t>
  </si>
  <si>
    <t>Uninflated Shipping/Pallets Cost</t>
  </si>
  <si>
    <t>uninflatedShippingPalletsCost</t>
  </si>
  <si>
    <t>(shippingPalletsCostasPctofNetSales * netSales)</t>
  </si>
  <si>
    <t>551_SUP</t>
  </si>
  <si>
    <t>Shipping/Pallets Cost as % of Net Sales</t>
  </si>
  <si>
    <t>shippingPalletsCostasPctofNetSales</t>
  </si>
  <si>
    <t>(uninflatedShippingPalletsCost / netSales)</t>
  </si>
  <si>
    <t>2011_SUP</t>
  </si>
  <si>
    <t>Supply Chain Shipping/Pallets Cost</t>
  </si>
  <si>
    <t>supplyChainShippingPalletsCost</t>
  </si>
  <si>
    <t>(supplyChain911ScalingNode * supplyChainShippingPalletsCostmonthlocation)</t>
  </si>
  <si>
    <t>240_SUP</t>
  </si>
  <si>
    <t>Supply Chain 9.11 Scaling Node</t>
  </si>
  <si>
    <t>supplyChain911ScalingNode</t>
  </si>
  <si>
    <t>(supplyChainShippingPalletsCost / supplyChainShippingPalletsCostmonthlocation)</t>
  </si>
  <si>
    <t>(supplyChain911SOTgrain / supplyChain911SOTmonthlocation)</t>
  </si>
  <si>
    <t>241_SUP</t>
  </si>
  <si>
    <t>Supply Chain 9.11 SOT (month,location)</t>
  </si>
  <si>
    <t>supplyChain911SOTmonthlocation</t>
  </si>
  <si>
    <t>{"node_x":["supplyChain911SOTgrain"]}</t>
  </si>
  <si>
    <t>242_SUP</t>
  </si>
  <si>
    <t>Supply Chain 9.11 SOT (grain)</t>
  </si>
  <si>
    <t>supplyChain911SOTgrain</t>
  </si>
  <si>
    <t>_911ShippingPalletsandPostalCourierSOT</t>
  </si>
  <si>
    <t>89_SGAA</t>
  </si>
  <si>
    <t>243_SUP</t>
  </si>
  <si>
    <t>Supply Chain Shipping/Pallets Cost (month, location)</t>
  </si>
  <si>
    <t>supplyChainShippingPalletsCostmonthlocation</t>
  </si>
  <si>
    <t>{"node_x":["scshippingPalletsandPostalCourier911"]}</t>
  </si>
  <si>
    <t>916_SUP</t>
  </si>
  <si>
    <t>eComm Shipping/Pallets Cost</t>
  </si>
  <si>
    <t>eCommShippingPalletsCost</t>
  </si>
  <si>
    <t>(fCShippingPalletsCost + brandsShippingPalletsCost + othereCommShippingPalletsCost)</t>
  </si>
  <si>
    <t>426_SUP</t>
  </si>
  <si>
    <t>FC Shipping/Pallets Cost</t>
  </si>
  <si>
    <t>fCShippingPalletsCost</t>
  </si>
  <si>
    <t>(fCShippingPalletsInflation * uninflatedFCShippingPalletsCost)</t>
  </si>
  <si>
    <t>980_SUP</t>
  </si>
  <si>
    <t>FC Shipping/Pallets Inflation</t>
  </si>
  <si>
    <t>fCShippingPalletsInflation</t>
  </si>
  <si>
    <t>(fCShippingPalletsCost / uninflatedFCShippingPalletsCost)</t>
  </si>
  <si>
    <t>818_SUP</t>
  </si>
  <si>
    <t>Uninflated FC Shipping/Pallets Cost</t>
  </si>
  <si>
    <t>uninflatedFCShippingPalletsCost</t>
  </si>
  <si>
    <t>(allocatedshippingpalletscostperpackage * packagesSupplies)</t>
  </si>
  <si>
    <t>819_SUP</t>
  </si>
  <si>
    <t>Allocated shipping/pallets cost per package</t>
  </si>
  <si>
    <t>allocatedshippingpalletscostperpackage</t>
  </si>
  <si>
    <t>uninflatedFCShippingPalletsCost/packages</t>
  </si>
  <si>
    <t>1072_SUP</t>
  </si>
  <si>
    <t>Brands Shipping/Pallets Cost</t>
  </si>
  <si>
    <t>brandsShippingPalletsCost</t>
  </si>
  <si>
    <t>1114_SUP</t>
  </si>
  <si>
    <t>Other eComm Shipping/Pallets Cost</t>
  </si>
  <si>
    <t>othereCommShippingPalletsCost</t>
  </si>
  <si>
    <t>8989_SGAA</t>
  </si>
  <si>
    <t>Other Shipping/Pallets Cost (non-driver based)</t>
  </si>
  <si>
    <t>otherShippingPalletsCostnondriverbased</t>
  </si>
  <si>
    <t>5009012_UFM</t>
  </si>
  <si>
    <t>[09.12] Store Supplies Expense - Pre-Opening</t>
  </si>
  <si>
    <t>_912StoreSuppliesExpensePreOpening</t>
  </si>
  <si>
    <t>(storeSuppliesPreOpeningCost + supplyChainStoreSuppliesPreOpeningCost + eCommStoreSuppliesPreOpeningCost + otherStoreSuppliesPreOpeningCostnondriverbased)</t>
  </si>
  <si>
    <t>941_SUP</t>
  </si>
  <si>
    <t>Store Supplies - Pre-Opening Cost</t>
  </si>
  <si>
    <t>storeSuppliesPreOpeningCost</t>
  </si>
  <si>
    <t>(storeSuppliesPreOpeningInflation * uninflatedStoreSuppliesPreOpeningCost)</t>
  </si>
  <si>
    <t>1039_SUP</t>
  </si>
  <si>
    <t>Store Supplies - Pre-Opening Inflation</t>
  </si>
  <si>
    <t>storeSuppliesPreOpeningInflation</t>
  </si>
  <si>
    <t>(storeSuppliesPreOpeningCost / uninflatedStoreSuppliesPreOpeningCost)</t>
  </si>
  <si>
    <t>1040_SUP</t>
  </si>
  <si>
    <t>Uninflated Store Supplies - Pre-Opening Cost</t>
  </si>
  <si>
    <t>uninflatedStoreSuppliesPreOpeningCost</t>
  </si>
  <si>
    <t>(storeSuppliesPreOpeningCostasPctofNetSales * netSales)</t>
  </si>
  <si>
    <t>828_SUP</t>
  </si>
  <si>
    <t>Store Supplies - Pre-Opening Cost as % of Net Sales</t>
  </si>
  <si>
    <t>storeSuppliesPreOpeningCostasPctofNetSales</t>
  </si>
  <si>
    <t>(uninflatedStoreSuppliesPreOpeningCost / netSales)</t>
  </si>
  <si>
    <t>2012_SUP</t>
  </si>
  <si>
    <t>Supply Chain Store Supplies - Pre-Opening Cost</t>
  </si>
  <si>
    <t>supplyChainStoreSuppliesPreOpeningCost</t>
  </si>
  <si>
    <t>(supplyChain912ScalingNode * supplyChainStoreSuppliesPreOpeningCostmonthlocation)</t>
  </si>
  <si>
    <t>244_SUP</t>
  </si>
  <si>
    <t>Supply Chain 9.12 Scaling Node</t>
  </si>
  <si>
    <t>supplyChain912ScalingNode</t>
  </si>
  <si>
    <t>(supplyChainStoreSuppliesPreOpeningCost / supplyChainStoreSuppliesPreOpeningCostmonthlocation)</t>
  </si>
  <si>
    <t>(supplyChain912SOTgrain / supplyChain912SOTmonthlocation)</t>
  </si>
  <si>
    <t>245_SUP</t>
  </si>
  <si>
    <t>Supply Chain 9.12 SOT (month,location)</t>
  </si>
  <si>
    <t>supplyChain912SOTmonthlocation</t>
  </si>
  <si>
    <t>{"node_x":["supplyChain912SOTgrain"]}</t>
  </si>
  <si>
    <t>246_SUP</t>
  </si>
  <si>
    <t>Supply Chain 9.12 SOT (grain)</t>
  </si>
  <si>
    <t>supplyChain912SOTgrain</t>
  </si>
  <si>
    <t>_912StoreSuppliesExpensePreOpeningSOT</t>
  </si>
  <si>
    <t>90_SGAA</t>
  </si>
  <si>
    <t>247_SUP</t>
  </si>
  <si>
    <t>Supply Chain Store Supplies - Pre-Opening Cost (month, location)</t>
  </si>
  <si>
    <t>supplyChainStoreSuppliesPreOpeningCostmonthlocation</t>
  </si>
  <si>
    <t>{"node_x":["scstoreSuppliesExpensePreOpening912"]}</t>
  </si>
  <si>
    <t>920_SUP</t>
  </si>
  <si>
    <t>eComm Store Supplies - Pre-Opening Cost</t>
  </si>
  <si>
    <t>eCommStoreSuppliesPreOpeningCost</t>
  </si>
  <si>
    <t>(fCStoreSuppliesPreOpeningCost + othereCommStoreSuppliesPreOpeningCost)</t>
  </si>
  <si>
    <t>465_SUP</t>
  </si>
  <si>
    <t>FC Store Supplies - Pre-Opening Cost</t>
  </si>
  <si>
    <t>fCStoreSuppliesPreOpeningCost</t>
  </si>
  <si>
    <t>(fCStoreSuppliesPreOpeningInflation * uninflatedFCStoreSuppliesPreOpeningCost)</t>
  </si>
  <si>
    <t>981_SUP</t>
  </si>
  <si>
    <t>FC Store Supplies - Pre-Opening Inflation</t>
  </si>
  <si>
    <t>fCStoreSuppliesPreOpeningInflation</t>
  </si>
  <si>
    <t>(fCStoreSuppliesPreOpeningCost / uninflatedFCStoreSuppliesPreOpeningCost)</t>
  </si>
  <si>
    <t>690_SUP</t>
  </si>
  <si>
    <t>Uninflated FC Store Supplies - Pre-Opening Cost</t>
  </si>
  <si>
    <t>uninflatedFCStoreSuppliesPreOpeningCost</t>
  </si>
  <si>
    <t>fCStoreSuppliesPreOpeningCost/fCStoreSuppliesPreOpeningInflation</t>
  </si>
  <si>
    <t>1115_SUP</t>
  </si>
  <si>
    <t>Other eComm Store Supplies - Pre-Opening Cost</t>
  </si>
  <si>
    <t>othereCommStoreSuppliesPreOpeningCost</t>
  </si>
  <si>
    <t>9090_SGAA</t>
  </si>
  <si>
    <t>Other Store Supplies - Pre-Opening Cost (non-driver based)</t>
  </si>
  <si>
    <t>otherStoreSuppliesPreOpeningCostnondriverbased</t>
  </si>
  <si>
    <t>5009013_UFM</t>
  </si>
  <si>
    <t>[09.13] Other Supply Costs</t>
  </si>
  <si>
    <t>_913OtherSupplyCosts</t>
  </si>
  <si>
    <t>(storeOtherSuppliesCost + supplyChainOtherSuppliesCost + eCommOtherSuppliesCost + otherOtherSuppliesCostnondriverbased)</t>
  </si>
  <si>
    <t>546_SUP</t>
  </si>
  <si>
    <t>Store Other Supplies Cost</t>
  </si>
  <si>
    <t>storeOtherSuppliesCost</t>
  </si>
  <si>
    <t>(storeOtherSuppliesInflation * uninflatedOtherSuppliesCost)</t>
  </si>
  <si>
    <t>1029_SUP</t>
  </si>
  <si>
    <t>Store Other Supplies Inflation</t>
  </si>
  <si>
    <t>storeOtherSuppliesInflation</t>
  </si>
  <si>
    <t>(storeOtherSuppliesCost / uninflatedOtherSuppliesCost)</t>
  </si>
  <si>
    <t>1030_SUP</t>
  </si>
  <si>
    <t>Uninflated Other Supplies Cost</t>
  </si>
  <si>
    <t>uninflatedOtherSuppliesCost</t>
  </si>
  <si>
    <t>(otherSuppliesCostasPctofNetSales * netSales)</t>
  </si>
  <si>
    <t>548_SUP</t>
  </si>
  <si>
    <t>Other Supplies Cost as % of Net Sales</t>
  </si>
  <si>
    <t>otherSuppliesCostasPctofNetSales</t>
  </si>
  <si>
    <t>(uninflatedOtherSuppliesCost / netSales)</t>
  </si>
  <si>
    <t>2013_SUP</t>
  </si>
  <si>
    <t>Supply Chain Other Supplies Cost</t>
  </si>
  <si>
    <t>supplyChainOtherSuppliesCost</t>
  </si>
  <si>
    <t>(supplyChain913ScalingNode * supplyChainOtherSuppliesCostmonthlocation)</t>
  </si>
  <si>
    <t>248_SUP</t>
  </si>
  <si>
    <t>Supply Chain 9.13 Scaling Node</t>
  </si>
  <si>
    <t>supplyChain913ScalingNode</t>
  </si>
  <si>
    <t>(supplyChainOtherSuppliesCost / supplyChainOtherSuppliesCostmonthlocation)</t>
  </si>
  <si>
    <t>(supplyChain913SOTgrain / supplyChain913SOTmonthlocation)</t>
  </si>
  <si>
    <t>249_SUP</t>
  </si>
  <si>
    <t>Supply Chain 9.13 SOT (month,location)</t>
  </si>
  <si>
    <t>supplyChain913SOTmonthlocation</t>
  </si>
  <si>
    <t>{"node_x":["supplyChain913SOTgrain"]}</t>
  </si>
  <si>
    <t>250_SUP</t>
  </si>
  <si>
    <t>Supply Chain 9.13 SOT (grain)</t>
  </si>
  <si>
    <t>supplyChain913SOTgrain</t>
  </si>
  <si>
    <t>_913OtherSupplyCostsSOT</t>
  </si>
  <si>
    <t>91_SGAA</t>
  </si>
  <si>
    <t>251_SUP</t>
  </si>
  <si>
    <t>Supply Chain Other Supplies Cost (month, location)</t>
  </si>
  <si>
    <t>supplyChainOtherSuppliesCostmonthlocation</t>
  </si>
  <si>
    <t>{"node_x":["scotherSupplyCosts913"]}</t>
  </si>
  <si>
    <t>924_SUP</t>
  </si>
  <si>
    <t>eComm Other Supplies Cost</t>
  </si>
  <si>
    <t>eCommOtherSuppliesCost</t>
  </si>
  <si>
    <t>(fCOtherSuppliesCost + othereCommOtherSuppliesCost)</t>
  </si>
  <si>
    <t>504_SUP</t>
  </si>
  <si>
    <t>FC Other Supplies Cost</t>
  </si>
  <si>
    <t>fCOtherSuppliesCost</t>
  </si>
  <si>
    <t>(fCOtherSuppliesInflation * uninflatedFCOtherSuppliesCost)</t>
  </si>
  <si>
    <t>982_SUP</t>
  </si>
  <si>
    <t>FC Other Supplies Inflation</t>
  </si>
  <si>
    <t>fCOtherSuppliesInflation</t>
  </si>
  <si>
    <t>(fCOtherSuppliesCost / uninflatedFCOtherSuppliesCost)</t>
  </si>
  <si>
    <t>1008_SUP</t>
  </si>
  <si>
    <t>Uninflated FC Other Supplies Cost</t>
  </si>
  <si>
    <t>uninflatedFCOtherSuppliesCost</t>
  </si>
  <si>
    <t>fCOtherSuppliesCost/fCOtherSuppliesInflation</t>
  </si>
  <si>
    <t>1116_SUP</t>
  </si>
  <si>
    <t>Other eComm Other Supplies Cost</t>
  </si>
  <si>
    <t>othereCommOtherSuppliesCost</t>
  </si>
  <si>
    <t>9191_SGAA</t>
  </si>
  <si>
    <t>Other Other Supplies Cost (non-driver based)</t>
  </si>
  <si>
    <t>otherOtherSuppliesCostnondriverbased</t>
  </si>
  <si>
    <t>292_SGAA</t>
  </si>
  <si>
    <t>Plug (13 Marketing)</t>
  </si>
  <si>
    <t>plug13Marketing</t>
  </si>
  <si>
    <t>sOT13Marketing - marketingCalculated</t>
  </si>
  <si>
    <t>100_MKTG</t>
  </si>
  <si>
    <t>Marketing Calculated</t>
  </si>
  <si>
    <t>marketingCalculated</t>
  </si>
  <si>
    <t>otherMarketingExpenses+supplyChainMarketingExpense+totalCoreMarketing</t>
  </si>
  <si>
    <t>22_MKTG</t>
  </si>
  <si>
    <t>Other Marketing Expenses</t>
  </si>
  <si>
    <t>otherMarketingExpenses</t>
  </si>
  <si>
    <t>1018_SBA</t>
  </si>
  <si>
    <t>MARKETING</t>
  </si>
  <si>
    <t>39_MKTG</t>
  </si>
  <si>
    <t>Supply Chain Marketing Expense</t>
  </si>
  <si>
    <t>supplyChainMarketingExpense</t>
  </si>
  <si>
    <t>supplyChain13ScalingNode * supplyChainMarketingExpensemonth</t>
  </si>
  <si>
    <t>200_MKTG</t>
  </si>
  <si>
    <t>Supply Chain 13 Scaling Node</t>
  </si>
  <si>
    <t>supplyChain13ScalingNode</t>
  </si>
  <si>
    <t>supplyChain13SOTgrain/supplyChain13SOTmonthlocation</t>
  </si>
  <si>
    <t>201_MKTG</t>
  </si>
  <si>
    <t>Supply Chain 13 SOT (month,location)</t>
  </si>
  <si>
    <t>supplyChain13SOTmonthlocation</t>
  </si>
  <si>
    <t>{"node_x":["supplyChain13SOTgrain"]}</t>
  </si>
  <si>
    <t>202_MKTG</t>
  </si>
  <si>
    <t>Supply Chain 13 SOT (grain)</t>
  </si>
  <si>
    <t>supplyChain13SOTgrain</t>
  </si>
  <si>
    <t>203_MKTG</t>
  </si>
  <si>
    <t>Supply Chain Marketing Expense (month)</t>
  </si>
  <si>
    <t>supplyChainMarketingExpensemonth</t>
  </si>
  <si>
    <t>scinstacartMarketingExpense+scgoLocal+scdDIAcquisitions+scotherSupplyChainMarketingExpense</t>
  </si>
  <si>
    <t>64_MKTG</t>
  </si>
  <si>
    <t>Total Core Marketing</t>
  </si>
  <si>
    <t>totalCoreMarketing</t>
  </si>
  <si>
    <t>totalCoreMarketingMonth*totalCoreMarketingScalingNode</t>
  </si>
  <si>
    <t>65_MKTG</t>
  </si>
  <si>
    <t>Total Core Marketing (Month)</t>
  </si>
  <si>
    <t>totalCoreMarketingMonth</t>
  </si>
  <si>
    <t>digitalTrafficMarketing+fullFunnelBrandInitiativesEnablers</t>
  </si>
  <si>
    <t>54_MKTG</t>
  </si>
  <si>
    <t>Full Funnel, Brand, Initiatives, Enablers</t>
  </si>
  <si>
    <t>fullFunnelBrandInitiativesEnablers</t>
  </si>
  <si>
    <t>totalCoreMarketingMonth/digitalTrafficMarketing</t>
  </si>
  <si>
    <t>6_MKTG</t>
  </si>
  <si>
    <t>Digital Traffic Marketing</t>
  </si>
  <si>
    <t>digitalTrafficMarketing</t>
  </si>
  <si>
    <t>costPerPaidVisit*paidVisits</t>
  </si>
  <si>
    <t>7_MKTG</t>
  </si>
  <si>
    <t>Cost per paid visit</t>
  </si>
  <si>
    <t>costPerPaidVisit</t>
  </si>
  <si>
    <t>digitalTrafficMarketing/paidVisits</t>
  </si>
  <si>
    <t>8_MKTG</t>
  </si>
  <si>
    <t>Paid Visits</t>
  </si>
  <si>
    <t>paidVisits</t>
  </si>
  <si>
    <t>paidPctOfTotalVisits*totalVisits</t>
  </si>
  <si>
    <t>9_MKTG</t>
  </si>
  <si>
    <t>Paid % of Total Visits</t>
  </si>
  <si>
    <t>paidPctofTotalVisits</t>
  </si>
  <si>
    <t>paidVisits/totalVisits</t>
  </si>
  <si>
    <t>10_MKTG</t>
  </si>
  <si>
    <t>Total Visits</t>
  </si>
  <si>
    <t>totalVisits</t>
  </si>
  <si>
    <t>authorizedOrders / conversionRate</t>
  </si>
  <si>
    <t>15_MKTG</t>
  </si>
  <si>
    <t>Conversion Rate</t>
  </si>
  <si>
    <t>conversionRate</t>
  </si>
  <si>
    <t>totalVisits/authorizedOrders</t>
  </si>
  <si>
    <t>70_MKTG</t>
  </si>
  <si>
    <t>Authorized Orders</t>
  </si>
  <si>
    <t>authorizedOrders</t>
  </si>
  <si>
    <t>shippedOrderPctofAuthorizedOrders*shippedOrders</t>
  </si>
  <si>
    <t>71_MKTG</t>
  </si>
  <si>
    <t>Shipped Order % of Authorized Orders</t>
  </si>
  <si>
    <t>shippedOrderPctofAuthorizedOrders</t>
  </si>
  <si>
    <t>authorizedOrders/shippedOrders</t>
  </si>
  <si>
    <t>16_MKTG</t>
  </si>
  <si>
    <t>Shipped Orders</t>
  </si>
  <si>
    <t>shippedOrders</t>
  </si>
  <si>
    <t>67_MKTG</t>
  </si>
  <si>
    <t>Total Core Marketing Scaling Node</t>
  </si>
  <si>
    <t>totalCoreMarketingScalingNode</t>
  </si>
  <si>
    <t>forecast</t>
  </si>
  <si>
    <t>totalCoreMarketing / totalCoreMarketingMonth</t>
  </si>
  <si>
    <t>totalCoreMarketingBaseGrain/totalCoreMarketingMonthGrain</t>
  </si>
  <si>
    <t>60_MKTG</t>
  </si>
  <si>
    <t>Total Core Marketing Base Grain</t>
  </si>
  <si>
    <t>totalCoreMarketingBaseGrain</t>
  </si>
  <si>
    <t>68_MKTG</t>
  </si>
  <si>
    <t>Total Core Marketing Month Grain</t>
  </si>
  <si>
    <t>totalCoreMarketingMonthGrain</t>
  </si>
  <si>
    <t>{"node_x":["totalCoreMarketingBaseGrain"]}</t>
  </si>
  <si>
    <t>293_SGAA</t>
  </si>
  <si>
    <t>Plug (18 Services)</t>
  </si>
  <si>
    <t>plug18Services</t>
  </si>
  <si>
    <t>sOT18Services - outsideServicesCalculated</t>
  </si>
  <si>
    <t>200_SERV</t>
  </si>
  <si>
    <t>Outside Services Calculated</t>
  </si>
  <si>
    <t>outsideServicesCalculated</t>
  </si>
  <si>
    <t>_1801PharmacyOutsideServices + _1802OpticalOutsideServices + _1803InventoryingExpense + _1804SecurityServices + _1805ThirdPartyLogistics + _1807OutsideServiceExpensePreOrdering +  _1808Remodeling +  _1809OtherPreOpeningExpenses + _1810OtherStoreClubDCServicesExpense + _1811RemodelingFullyOutsourcedProjects + _1812ThirdPartyCallCenterExpenses</t>
  </si>
  <si>
    <t>122_SERV</t>
  </si>
  <si>
    <t>[18.01] Pharmacy Outside Services</t>
  </si>
  <si>
    <t>_1801PharmacyOutsideServices</t>
  </si>
  <si>
    <t>_1801PharmacyMonth*_1801PharmacyScalingNode</t>
  </si>
  <si>
    <t>123_SERV</t>
  </si>
  <si>
    <t>[18.01] Pharmacy (Scaling Node)</t>
  </si>
  <si>
    <t>_1801PharmacyScalingNode</t>
  </si>
  <si>
    <t>_1801PharmacyOutsideServices/_1801PharmacySOTMonth</t>
  </si>
  <si>
    <t>_1801PharmacySOTBaseGrain/_1801PharmacySOTMonth</t>
  </si>
  <si>
    <t>142_SERV</t>
  </si>
  <si>
    <t>[18.01] Pharmacy (SOT month)</t>
  </si>
  <si>
    <t>_1801PharmacySOTMonth</t>
  </si>
  <si>
    <t>{"node_x":["_1801PharmacySOTBaseGrain"]}</t>
  </si>
  <si>
    <t>124_SERV</t>
  </si>
  <si>
    <t>[18.01] Pharmacy (SOT base grain)</t>
  </si>
  <si>
    <t>_1801PharmacySOTBaseGrain</t>
  </si>
  <si>
    <t>_1801PharmacyOutsideServicesSOT</t>
  </si>
  <si>
    <t>152_SGAA</t>
  </si>
  <si>
    <t>18.01] Pharmacy Outside Services</t>
  </si>
  <si>
    <t>3_SERV</t>
  </si>
  <si>
    <t>[18.01] Pharmacy (Month)</t>
  </si>
  <si>
    <t>_1801PharmacyMonth</t>
  </si>
  <si>
    <t>{"node_x":["pharmacyBillingClaimsDataServices", "outsideDataServices","pBMService", "otherPharmacyOutsideServiceFees", "overheadAndOpticalDepartments"]}</t>
  </si>
  <si>
    <t>11_SERV</t>
  </si>
  <si>
    <t>Pharmacy Billing Claims Data Services</t>
  </si>
  <si>
    <t>pharmacyBillingClaimsDataServices</t>
  </si>
  <si>
    <t>pharmacyscripts * pharmacyBillingClaimsDataServicesPerScript</t>
  </si>
  <si>
    <t>12_SERV</t>
  </si>
  <si>
    <t>Pharmacy Billing Claims Data Services per Script</t>
  </si>
  <si>
    <t>pharmacyBillingClaimsDataServicesPerScript</t>
  </si>
  <si>
    <t>pharmacyBillingClaimsDataServices/(retailSpecialtyRxCount+managedSpecialtyRxCount+brandRxBASECountnoSpecIMZ+iMZRxCount+genericRxCount)</t>
  </si>
  <si>
    <t>13_SERV</t>
  </si>
  <si>
    <t>Other pharmacy outside service fees</t>
  </si>
  <si>
    <t>otherPharmacyOutsideServiceFees</t>
  </si>
  <si>
    <t>14_SERV</t>
  </si>
  <si>
    <t>Overhead and Optical Departments</t>
  </si>
  <si>
    <t>overheadAndOpticalDepartments</t>
  </si>
  <si>
    <t>4_SERV</t>
  </si>
  <si>
    <t>PBM Service</t>
  </si>
  <si>
    <t>pBMService</t>
  </si>
  <si>
    <t>pharmacyscripts * pBMServiceCostPerScript</t>
  </si>
  <si>
    <t>6_SERV</t>
  </si>
  <si>
    <t>PBM Service cost per Script</t>
  </si>
  <si>
    <t>pBMServiceCostPerScript</t>
  </si>
  <si>
    <t>pBMService/(retailSpecialtyRxCount+managedSpecialtyRxCount+brandRxBASECountnoSpecIMZ+iMZRxCount+genericRxCount)</t>
  </si>
  <si>
    <t>7_SERV</t>
  </si>
  <si>
    <t>Outside Data Services</t>
  </si>
  <si>
    <t>outsideDataServices</t>
  </si>
  <si>
    <t>variableOutsideDataServiceExpense + fixedDataServicesExpense</t>
  </si>
  <si>
    <t>10_SERV</t>
  </si>
  <si>
    <t>Fixed data services expense</t>
  </si>
  <si>
    <t>fixedDataServicesExpense</t>
  </si>
  <si>
    <t>8_SERV</t>
  </si>
  <si>
    <t>Variable outside data service expense</t>
  </si>
  <si>
    <t>variableOutsideDataServiceExpense</t>
  </si>
  <si>
    <t>pharmacyscripts * variableOutsideDataServiceExpensePerScript</t>
  </si>
  <si>
    <t>9_SERV</t>
  </si>
  <si>
    <t>Variable outside data service expense per script</t>
  </si>
  <si>
    <t>variableOutsideDataServiceExpensePerScript</t>
  </si>
  <si>
    <t>15_SERV</t>
  </si>
  <si>
    <t>[18.02] Optical Outside Services</t>
  </si>
  <si>
    <t>_1802OpticalOutsideServices</t>
  </si>
  <si>
    <t>managedCare + otherOpticalOutsideServiceFees + otherOpticalServiceExpense</t>
  </si>
  <si>
    <t>16_SERV</t>
  </si>
  <si>
    <t>Managed Care</t>
  </si>
  <si>
    <t>managedCare</t>
  </si>
  <si>
    <t>variableManagedCareExpenses + d493PSuppliers</t>
  </si>
  <si>
    <t>20_SERV</t>
  </si>
  <si>
    <t>D49 3P Suppliers</t>
  </si>
  <si>
    <t>d493PSuppliers</t>
  </si>
  <si>
    <t>17_SERV</t>
  </si>
  <si>
    <t>Variable managed care expenses</t>
  </si>
  <si>
    <t>variableManagedCareExpenses</t>
  </si>
  <si>
    <t>d75MerchSales * variableManagedCareExpensesPctOfD75</t>
  </si>
  <si>
    <t>19_SERV</t>
  </si>
  <si>
    <t>Variable managed care expenses % of D75</t>
  </si>
  <si>
    <t>variableManagedCareExpensesPctOfD75</t>
  </si>
  <si>
    <t>variableManagedCareExpenses/d75MerchSales</t>
  </si>
  <si>
    <t>18_SERV</t>
  </si>
  <si>
    <t>D75 merch sales</t>
  </si>
  <si>
    <t>d75MerchSales</t>
  </si>
  <si>
    <t>variableManagedCareExpenses/variableManagedCareExpensesPctOfD75</t>
  </si>
  <si>
    <t>21_SERV</t>
  </si>
  <si>
    <t>Other optical outside service fees</t>
  </si>
  <si>
    <t>otherOpticalOutsideServiceFees</t>
  </si>
  <si>
    <t>variableOtherOutsideServiceFees + otherNonD75OutsideServiceExpense</t>
  </si>
  <si>
    <t>146_SERV</t>
  </si>
  <si>
    <t>Variable other outside service fees</t>
  </si>
  <si>
    <t>variableOtherOutsideServiceFees</t>
  </si>
  <si>
    <t>d75MerchSales * variableOtherOutsideServiceFeesPctOfD75</t>
  </si>
  <si>
    <t>22_SERV</t>
  </si>
  <si>
    <t>Variable other outside service fees % of D75</t>
  </si>
  <si>
    <t>variableOtherOutsideServiceFeesPctOfD75</t>
  </si>
  <si>
    <t xml:space="preserve">variableOtherOutsideServiceFees/d75MerchSales </t>
  </si>
  <si>
    <t>147_SERV</t>
  </si>
  <si>
    <t>Other non-D75 outside service expense</t>
  </si>
  <si>
    <t>otherNonD75OutsideServiceExpense</t>
  </si>
  <si>
    <t>105_SERV</t>
  </si>
  <si>
    <t>Other Optical service expense</t>
  </si>
  <si>
    <t>otherOpticalServiceExpense</t>
  </si>
  <si>
    <t>65_SERV</t>
  </si>
  <si>
    <t>[18.03] Inventorying Expense</t>
  </si>
  <si>
    <t>_1803InventoryingExpense</t>
  </si>
  <si>
    <t>23_SERV</t>
  </si>
  <si>
    <t>[18.04] Security Services</t>
  </si>
  <si>
    <t>_1804SecurityServices</t>
  </si>
  <si>
    <t>_1804RemodelingScalingnode * (totalContractExpenses + otherSecurityExpenses)</t>
  </si>
  <si>
    <t>281_SERV</t>
  </si>
  <si>
    <t>[18.04] Remodeling (Scaling node)</t>
  </si>
  <si>
    <t>_1804RemodelingScalingnode</t>
  </si>
  <si>
    <t>_1804SecurityServices / (totalContractExpenses + otherSecurityExpenses)</t>
  </si>
  <si>
    <t>_1804RemodelingSOT / _1804RemodelingSOTmonth</t>
  </si>
  <si>
    <t>282_SERV</t>
  </si>
  <si>
    <t>[18.04] Remodeling (SOT month)</t>
  </si>
  <si>
    <t>_1804RemodelingSOTmonth</t>
  </si>
  <si>
    <t>{"node_x":["_1804RemodelingSOT"]}</t>
  </si>
  <si>
    <t>155_SGAA</t>
  </si>
  <si>
    <t>[18.04] Remodeling</t>
  </si>
  <si>
    <t>_1804RemodelingSOT</t>
  </si>
  <si>
    <t>24_SERV</t>
  </si>
  <si>
    <t>Total contract expenses</t>
  </si>
  <si>
    <t>totalContractExpenses</t>
  </si>
  <si>
    <t>insideGuardExpenses + parkingLotPatrolExpenses + uniformedPoliceOfficerExpenses + premisesSecurityExpenses + egressAttendant + shortTermContractExpenses</t>
  </si>
  <si>
    <t>25_SERV</t>
  </si>
  <si>
    <t>Inside guard expenses</t>
  </si>
  <si>
    <t>insideGuardExpenses</t>
  </si>
  <si>
    <t>28_SERV</t>
  </si>
  <si>
    <t>Parking lot patrol expenses</t>
  </si>
  <si>
    <t>parkingLotPatrolExpenses</t>
  </si>
  <si>
    <t>31_SERV</t>
  </si>
  <si>
    <t>Uniformed police officer expenses</t>
  </si>
  <si>
    <t>uniformedPoliceOfficerExpenses</t>
  </si>
  <si>
    <t>34_SERV</t>
  </si>
  <si>
    <t>Premises security expenses</t>
  </si>
  <si>
    <t>premisesSecurityExpenses</t>
  </si>
  <si>
    <t>37_SERV</t>
  </si>
  <si>
    <t>Egress Attendant</t>
  </si>
  <si>
    <t>egressAttendant</t>
  </si>
  <si>
    <t>40_SERV</t>
  </si>
  <si>
    <t>Short-term contract expenses</t>
  </si>
  <si>
    <t>shortTermContractExpenses</t>
  </si>
  <si>
    <t>112_SERV</t>
  </si>
  <si>
    <t>Other security expenses</t>
  </si>
  <si>
    <t>otherSecurityExpenses</t>
  </si>
  <si>
    <t>62_SERV</t>
  </si>
  <si>
    <t>[18.05] Third Party Logistics</t>
  </si>
  <si>
    <t>_1805ThirdPartyLogistics</t>
  </si>
  <si>
    <t>supplyChain18ScalingNode * supplyChainThirdPartyLogisticsmonthlocation + nonSupplyChain1805</t>
  </si>
  <si>
    <t>300_SERV</t>
  </si>
  <si>
    <t>Supply Chain 18 Scaling Node</t>
  </si>
  <si>
    <t>supplyChain18ScalingNode</t>
  </si>
  <si>
    <t>_1805ThirdPartyLogistics/supplyChainThirdPartyLogisticsmonthlocation</t>
  </si>
  <si>
    <t>supplyChain18SOTgrain/supplyChain18SOTmonthlocation</t>
  </si>
  <si>
    <t>301_SERV</t>
  </si>
  <si>
    <t>Supply Chain 18 SOT (month,location)</t>
  </si>
  <si>
    <t>supplyChain18SOTmonthlocation</t>
  </si>
  <si>
    <t>{"node_x":["supplyChain18SOTgrain"]}</t>
  </si>
  <si>
    <t>302_SERV</t>
  </si>
  <si>
    <t>Supply Chain 18 SOT (grain)</t>
  </si>
  <si>
    <t>supplyChain18SOTgrain</t>
  </si>
  <si>
    <t>_1805ThirdPartyLogisticsSOT</t>
  </si>
  <si>
    <t>156_SGAA</t>
  </si>
  <si>
    <t>303_SERV</t>
  </si>
  <si>
    <t>Supply Chain Third Party Logistics (month, location)</t>
  </si>
  <si>
    <t>supplyChainThirdPartyLogisticsmonthlocation</t>
  </si>
  <si>
    <t>{"node_x":["sc_3PLogistics1805"]}</t>
  </si>
  <si>
    <t>114_SERV</t>
  </si>
  <si>
    <t>Non-Supply Chain 18.05</t>
  </si>
  <si>
    <t>nonSupplyChain1805</t>
  </si>
  <si>
    <t>66_SERV</t>
  </si>
  <si>
    <t>[18.07] Outside Service Expense - Pre-Opening</t>
  </si>
  <si>
    <t>_1807OutsideServiceExpensePreOrdering</t>
  </si>
  <si>
    <t>134_SERV</t>
  </si>
  <si>
    <t>[18.08] Remodeling</t>
  </si>
  <si>
    <t>_1808Remodeling</t>
  </si>
  <si>
    <t>_1808RemodelingMonth*_1808RemodelingScalingNode</t>
  </si>
  <si>
    <t>129_SERV</t>
  </si>
  <si>
    <t>[18.08] Remodeling (Scaling node)</t>
  </si>
  <si>
    <t>_1808RemodelingScalingNode</t>
  </si>
  <si>
    <t>_1808Remodeling/_1808RemodelingMonth</t>
  </si>
  <si>
    <t>_1808RemodelingSOT/_1808RemodelingSOTMonth</t>
  </si>
  <si>
    <t>144_SERV</t>
  </si>
  <si>
    <t>[18.08] Remodeling (SOT month)</t>
  </si>
  <si>
    <t>_1808RemodelingSOTMonth</t>
  </si>
  <si>
    <t>{"node_x":["_1808RemodelingSOT"]}</t>
  </si>
  <si>
    <t>158_SGAA</t>
  </si>
  <si>
    <t>_1808RemodelingSOT</t>
  </si>
  <si>
    <t>53_SERV</t>
  </si>
  <si>
    <t>[18.08] Remodeling (month)</t>
  </si>
  <si>
    <t>_1808RemodelingMonth</t>
  </si>
  <si>
    <t>{"node_x":["nonCapitalProjects", "droppedRemodelExpenses", "fixtureFreightCosts", "specialProjectsPFC", "pFCExpenses"]}</t>
  </si>
  <si>
    <t>54_SERV</t>
  </si>
  <si>
    <t>PFC Expenses</t>
  </si>
  <si>
    <t>pFCExpenses</t>
  </si>
  <si>
    <t>numberOfRemodels * pFCCostPerRemodel</t>
  </si>
  <si>
    <t>140_SERV</t>
  </si>
  <si>
    <t>PFC Cost per Remodel</t>
  </si>
  <si>
    <t>pFCCostPerRemodel</t>
  </si>
  <si>
    <t>pFCExpenses/numberOfRemodels</t>
  </si>
  <si>
    <t>56_SERV</t>
  </si>
  <si>
    <t>Number of Remodels</t>
  </si>
  <si>
    <t>numberOfRemodels</t>
  </si>
  <si>
    <t>pFCExpenses/pFCCostPerRemodel</t>
  </si>
  <si>
    <t>59_SERV</t>
  </si>
  <si>
    <t>Special Projects PFC</t>
  </si>
  <si>
    <t>specialProjectsPFC</t>
  </si>
  <si>
    <t>60_SERV</t>
  </si>
  <si>
    <t>Fixture Freight Costs</t>
  </si>
  <si>
    <t>fixtureFreightCosts</t>
  </si>
  <si>
    <t>61_SERV</t>
  </si>
  <si>
    <t>Non-Capital Projects</t>
  </si>
  <si>
    <t>nonCapitalProjects</t>
  </si>
  <si>
    <t>84_SERV</t>
  </si>
  <si>
    <t>Dropped remodel expenses</t>
  </si>
  <si>
    <t>droppedRemodelExpenses</t>
  </si>
  <si>
    <t>67_SERV</t>
  </si>
  <si>
    <t>[18.09] Other Pre-Opening Expenses - Pre-Opening</t>
  </si>
  <si>
    <t>_1809OtherPreOpeningExpenses</t>
  </si>
  <si>
    <t>68_SERV</t>
  </si>
  <si>
    <t>[18.10] Other Store/Club/DC Service Expense</t>
  </si>
  <si>
    <t>_1810OtherStoreClubDCServicesExpense</t>
  </si>
  <si>
    <t>customerCare1810 + operations1810+manufacturing1810+homeOfficeSupport1810+supplyChainMgmt1810+shippingExpenseCalculatedSGandA</t>
  </si>
  <si>
    <t>119_SERV</t>
  </si>
  <si>
    <t>Operations (18.10)</t>
  </si>
  <si>
    <t>operations1810</t>
  </si>
  <si>
    <t>135_SERV</t>
  </si>
  <si>
    <t>Customer Care (18.10)</t>
  </si>
  <si>
    <t>customerCare1810</t>
  </si>
  <si>
    <t>137_SERV</t>
  </si>
  <si>
    <t>Manufacturing (18.10)</t>
  </si>
  <si>
    <t>manufacturing1810</t>
  </si>
  <si>
    <t>138_SERV</t>
  </si>
  <si>
    <t>Home Office Support (18.10)</t>
  </si>
  <si>
    <t>homeOfficeSupport1810</t>
  </si>
  <si>
    <t>139_SERV</t>
  </si>
  <si>
    <t>Supply Chain Mgmt (18.10)</t>
  </si>
  <si>
    <t>supplyChainMgmt1810</t>
  </si>
  <si>
    <t>69_SERV</t>
  </si>
  <si>
    <t>[18.11] Remodeling - fully outsourced projects</t>
  </si>
  <si>
    <t>_1811RemodelingFullyOutsourcedProjects</t>
  </si>
  <si>
    <t>41_SERV</t>
  </si>
  <si>
    <t>[18.12] Third Party Call Center Expenses</t>
  </si>
  <si>
    <t>_1812ThirdPartyCallCenterExpenses</t>
  </si>
  <si>
    <t>digitalContactCenterSupportServices + storesContactCenterSupportServices + fraudPreventionAndOther</t>
  </si>
  <si>
    <t>125_SERV</t>
  </si>
  <si>
    <t>Digital Contact Center Support Services</t>
  </si>
  <si>
    <t>digitalContactCenterSupportServices</t>
  </si>
  <si>
    <t>DigitalContactCenterSupportServicesMonth*digitalContactCenterSupportServicesScalingNode</t>
  </si>
  <si>
    <t>126_SERV</t>
  </si>
  <si>
    <t>Digital Contact Center Support Services (scaling node)</t>
  </si>
  <si>
    <t>digitalContactCenterSupportServicesScalingNode</t>
  </si>
  <si>
    <t>digitalContactCenterSupportServices / DigitalContactCenterSupportServicesMonth</t>
  </si>
  <si>
    <t>digitalContactCenterSupportServicesSOTBaseGrain/digitalContactCenterSupportServicesSOTMonth</t>
  </si>
  <si>
    <t>143_SERV</t>
  </si>
  <si>
    <t>Digital Contact Center Support Services (SOT month)</t>
  </si>
  <si>
    <t>digitalContactCenterSupportServicesSOTMonth</t>
  </si>
  <si>
    <t>{"node_x":["digitalContactCenterSupportServicesSOTBaseGrain"]}</t>
  </si>
  <si>
    <t>127_SERV</t>
  </si>
  <si>
    <t>Digital Contact Center Support Services (SOT base grain)</t>
  </si>
  <si>
    <t>digitalContactCenterSupportServicesSOTBaseGrain</t>
  </si>
  <si>
    <t>106_SERV</t>
  </si>
  <si>
    <t>Digital Contact Center Support Services (month)</t>
  </si>
  <si>
    <t>DigitalContactCenterSupportServicesMonth</t>
  </si>
  <si>
    <t>nbrOfContacts* costPerContact</t>
  </si>
  <si>
    <t>43_SERV</t>
  </si>
  <si>
    <t># of Contacts</t>
  </si>
  <si>
    <t>nbrOfContacts</t>
  </si>
  <si>
    <t>contactsPerOrder * totalWMTUSOrders</t>
  </si>
  <si>
    <t>44_SERV</t>
  </si>
  <si>
    <t>Contacts per order</t>
  </si>
  <si>
    <t>contactsPerOrder</t>
  </si>
  <si>
    <t>nbrOfContacts/totalWMTUSOrders</t>
  </si>
  <si>
    <t>1_UFM</t>
  </si>
  <si>
    <t>Total WMT US Orders</t>
  </si>
  <si>
    <t>totalWMTUSOrders</t>
  </si>
  <si>
    <t>rollUpFactor * totalBaseChannelOrders</t>
  </si>
  <si>
    <t>2_UFM</t>
  </si>
  <si>
    <t>Roll-up Factor</t>
  </si>
  <si>
    <t>rollUpFactor</t>
  </si>
  <si>
    <t>totalWMTUSOrders/totalBaseChannelOrders</t>
  </si>
  <si>
    <t>3_UFM</t>
  </si>
  <si>
    <t>Total Base Channel Orders</t>
  </si>
  <si>
    <t>totalBaseChannelOrders</t>
  </si>
  <si>
    <t>46_SERV</t>
  </si>
  <si>
    <t>Cost per Contact</t>
  </si>
  <si>
    <t>costPerContact</t>
  </si>
  <si>
    <t>108_SERV</t>
  </si>
  <si>
    <t>Fraud Prevention and Other</t>
  </si>
  <si>
    <t>fraudPreventionAndOther</t>
  </si>
  <si>
    <t>107_SERV</t>
  </si>
  <si>
    <t>Stores Contact Center Support Services</t>
  </si>
  <si>
    <t>storesContactCenterSupportServices</t>
  </si>
  <si>
    <t>101_MEMO</t>
  </si>
  <si>
    <t>Gross Profit % of Sales</t>
  </si>
  <si>
    <t>grossProfitPctofSales</t>
  </si>
  <si>
    <t>grossProfit/netSales</t>
  </si>
  <si>
    <t>102_MEMO</t>
  </si>
  <si>
    <t>SG&amp;A % of Sales</t>
  </si>
  <si>
    <t>sGandAPctofSales</t>
  </si>
  <si>
    <t>sGandA/netSales</t>
  </si>
  <si>
    <t>103_MEMO</t>
  </si>
  <si>
    <t>Operating Income % of Sales</t>
  </si>
  <si>
    <t>operatingIncomePctofSales</t>
  </si>
  <si>
    <t>segmentOperatingIncome/netSales</t>
  </si>
  <si>
    <t>107_MEMO</t>
  </si>
  <si>
    <t>Operating Income In Store</t>
  </si>
  <si>
    <t>operatingIncomeInStore</t>
  </si>
  <si>
    <t>INSTORE_INCLUB, NONE, OTHER_PHYSICAL</t>
  </si>
  <si>
    <t>segmentoperatingIncome</t>
  </si>
  <si>
    <t>108_MEMO</t>
  </si>
  <si>
    <t>Operating Income Ecommerce</t>
  </si>
  <si>
    <t>operatingIncomeEcommerce</t>
  </si>
  <si>
    <t>DSV_S2H, SELLER_FULFILLED, LOCAL_MARKETPLACE, OWNED_S2H, SHIP_FROM_STORE, UNSCHEDULED_DELIVERY, WALMART_FULFILLMENT_SERVICES, DSV_S2S, OWNED_S2S, UNSCHEDULED_PICKUP,EXPRESS_DELIVERY, EVERGREEN_DELIVERY, INHOME_DELIVERY, SCHEDULED_DELIVERY, EXPRESS_PICKUP, SCHEDULED_PICKUP, WMT_INSTACART, BUSINESS_DELIVERY_SERVICES, SOFTWARE_SOLUTIONS, THIRD_PARTY_WEBSITE, GIFT_REGISTRY, WMT_PHOTO, WMT_PHARMACY_RX, OTHER_LMD_3P_PLATFORM</t>
  </si>
  <si>
    <t>109_MEMO</t>
  </si>
  <si>
    <t>RX/Optical</t>
  </si>
  <si>
    <t>rXOptical</t>
  </si>
  <si>
    <t>_1801PharmacyOutsideServices+_1802OpticalOutsideServices</t>
  </si>
  <si>
    <t>110_MEMO</t>
  </si>
  <si>
    <t>Remodeling</t>
  </si>
  <si>
    <t>remodeling</t>
  </si>
  <si>
    <t>_1808Remodeling+_1811RemodelingFullyOutsourcedProjects</t>
  </si>
  <si>
    <t>111_MEMO</t>
  </si>
  <si>
    <t>Other Services</t>
  </si>
  <si>
    <t>otherServices</t>
  </si>
  <si>
    <t>customerCare1810+manufacturing1810+homeOfficeSupport1810+supplyChainMgmt1810</t>
  </si>
  <si>
    <t>112_MEMO</t>
  </si>
  <si>
    <t>Salaries and Wages Operations</t>
  </si>
  <si>
    <t>salariesandWagesOperations</t>
  </si>
  <si>
    <t>WMTUS_TOTAL_OPERATIONS_MGMT</t>
  </si>
  <si>
    <t>113_MEMO</t>
  </si>
  <si>
    <t>Salaries and Wages SC</t>
  </si>
  <si>
    <t>salariesandWagesSC</t>
  </si>
  <si>
    <t>WMT_US_SUPPLY_CHAIN_TOTAL_GP,WMT_US_SUPPLY_CHAIN_TOTAL_SGA</t>
  </si>
  <si>
    <t>114_MEMO</t>
  </si>
  <si>
    <t>Salaries and Wages  eCommerce</t>
  </si>
  <si>
    <t>salariesandWageseCommerce</t>
  </si>
  <si>
    <t>ACQUISITIONS_AND_INCUBATIONS, WALMARTDOTCOM</t>
  </si>
  <si>
    <t>115_MEMO</t>
  </si>
  <si>
    <t>Salaries and Wages Overheads</t>
  </si>
  <si>
    <t>salariesandWagesOverheads</t>
  </si>
  <si>
    <t>HOME_OFFICE_COMPLIANCE, HOME_OFFICE_EXECUTIVE, HOME_OFFICE_FINANCE_WO_PR_AND_SUPPLY_CHAIN, HOME_OFFICE_HW, HOME_OFFICE_MERCHANDISING_WO_PR, HOME_OFFICE_OPERATIONS, HOME_OFFICE_PEOPLE_WO_SUPPLY_CHAIN, HOME_OFFICE_SUPPORT_OTHER, WMTUS_HOME_OFFICE_ECOMMERCE, WMTUS_HOME_OFFICE_ONE</t>
  </si>
  <si>
    <t>116_MEMO</t>
  </si>
  <si>
    <t>Salaries and Wages Other</t>
  </si>
  <si>
    <t>salariesandWagesOther</t>
  </si>
  <si>
    <t xml:space="preserve">WMTUS_MANUFACTURING_MGMT, WMTUS_MARKETING_CIS, WMTUS_PRODUCT_AND_INNOVATION, WMTUS_REVENUE_GROWTH, WMTUS_STORE_8, WMTUS_UXUI_DESIGN </t>
  </si>
  <si>
    <t>_1SalariesandWages-salariesandWagesOverheads-salariesandWageseCommerce-salariesandWagesSC-salariesandWagesOperations</t>
  </si>
  <si>
    <t>117_MEMO</t>
  </si>
  <si>
    <t>Other</t>
  </si>
  <si>
    <t>other</t>
  </si>
  <si>
    <t>_1803InventoryingExpense + _1807OutsideServiceExpensePreOrdering + _1809OtherPreOpeningExpenses + _1812ThirdPartyCallCenterExpenses</t>
  </si>
  <si>
    <t>118_MEMO</t>
  </si>
  <si>
    <t>UPLH</t>
  </si>
  <si>
    <t>uPLH</t>
  </si>
  <si>
    <t>scannedUnitsChannelDeptEntity/totalHours</t>
  </si>
  <si>
    <t>119_MEMO</t>
  </si>
  <si>
    <t>Total Hours</t>
  </si>
  <si>
    <t>totalHours</t>
  </si>
  <si>
    <t>laborHoursFrontEnd + laborHoursFoodandConsumables + laborHoursGeneralMerch + laborHoursStocking + laborHoursOther + laborHoursDigital + laborHoursFuel</t>
  </si>
  <si>
    <t>201_MEMO</t>
  </si>
  <si>
    <t>Real Estate Segment</t>
  </si>
  <si>
    <t>realEstateSegment</t>
  </si>
  <si>
    <t>utilitiesandSustainabilityPk05 + rentRealEstatePk06 + _7BuildingsFacilitiesMaintenance + _9supplycosts +  uncollectibleReconciliationPk22 + gainLossWriteOffPk24</t>
  </si>
  <si>
    <t>202_MEMO</t>
  </si>
  <si>
    <t>Merchandise Segment Net Sales</t>
  </si>
  <si>
    <t>merchandiseSegmentNetSales</t>
  </si>
  <si>
    <t>netSales -merchandiseTotalSegmentNetSales-merchandiseeCommerceOtherNetSales</t>
  </si>
  <si>
    <t>203_MEMO</t>
  </si>
  <si>
    <t>Merchandise eCommerce Other Net Sales</t>
  </si>
  <si>
    <t>merchandiseeCommerceOtherNetSales</t>
  </si>
  <si>
    <t>WMT_ADVERTISING, MONETIZATION, CORE_SERVICES, SERVICES_PHYSICAL</t>
  </si>
  <si>
    <t>204_Memo</t>
  </si>
  <si>
    <t>Merchandise Total Segment Net Sales</t>
  </si>
  <si>
    <t>merchandiseTotalSegmentNetSales</t>
  </si>
  <si>
    <t>DSV_S2H, SELLER_FULFILLED, LOCAL_MARKETPLACE, OWNED_S2H, SHIP_FROM_STORE, UNSCHEDULED_DELIVERY, WALMART_FULFILLMENT_SERVICES, DSV_S2S, OWNED_S2S, UNSCHEDULED_PICKUP, INSTORE_INCLUB, NONE, OTHER_PHYSICAL, EXPRESS_DELIVERY, EVERGREEN_DELIVERY, INHOME_DELIVERY, SCHEDULED_DELIVERY, EXPRESS_PICKUP, SCHEDULED_PICKUP, WMT_INSTACART, BUSINESS_DELIVERY_SERVICES, SOFTWARE_SOLUTIONS, THIRD_PARTY_WEBSITE, GIFT_REGISTRY, WMT_PHOTO, WMT_PHARMACY_RX, OTHER_LMD_3P_PLATFORM</t>
  </si>
  <si>
    <t>1_CANDY, 80_SERVICE DELI, 81_COM BREAD, 82_IMPULSE MERCHANDISE, 83_SEAFOOD, 84_BALLOONS &amp; FLOWERS, 90_DAIRY, 91_FROZEN, 92_GROCERY, 93_MEAT, 94_PRODUCE, 95_DSD GROCERY, 96_LIQUOR, 97_WALL DELI, 98_BAKERY, 13_CLEANING, 2_PERSONAL CARE, 4_HOUSEHOLD PAPER, 40_OTC PHARMACY, 46_BEAUTY, 79_INFANT CONSUMABLE HARDLINES, 8_PETS &amp; SUPPLIES, 18_SEASONAL, 21_BOOKS AND MAGAZINES, 5_MEDIA AND GAMING, 58_WIRELESS SERVICE INCOME, 6_CAMERAS &amp; SUPPLIES, 67_CELEBRATION, 7_TOYS, 72_ELECTRONICS, 77_LARGE HOUSEHOLD GOODS, 85_ONE HOUR PHOTO, 87_WIRELESS, 10_AUTOMOTIVE, 11_HARDWARE, 12_PAINT &amp; ACCESSORIES, 16_LAWN AND GARDEN, 3_STATIONERY, 37_AUTO SERVICE, 56_HORTICULTURE, 9_SPORTING GOODS, 14_COOK AND DINE, 17_HOME DECOR, 19, 20_BATH AND SHOWER, 22_BEDDING, 71_FURNITURE, 74_HOME MANAGEMENT, 23_MENS APPAREL, 24_BOYS APPAREL, 25_SHOES, 26_BABY AND TODDLER APPAREL, 27_FAMILY SOCKS, 28_HOSIERY, 29_INTIMATE APPAREL, 30_FOUNDATIONS, 31_ACCESSORIES, 32_JEWELRY, 33_GIRLS APPAREL, 34_WOMENS APPAREL, 35_PLUS SIZES/MATERNITY, 36_WOMENS OUTERWEAR, 15_ELECTRIC VEHICLE CHARGING, 38_PHARMACY RX, 49_OPTICAL, 50_OPTICAL, 57_NOT IN USE, 75_OPTICAL - DOCTORS</t>
  </si>
  <si>
    <t>205_MEMO</t>
  </si>
  <si>
    <t>Merchandise Segment Gross Profit</t>
  </si>
  <si>
    <t>merchandiseSegmentGrossProfit</t>
  </si>
  <si>
    <t>grossProfit -merchandiseTotalSegmentGrossProfit-merchandiseeCommerceOtherGrossProfit</t>
  </si>
  <si>
    <t>206_MEMO</t>
  </si>
  <si>
    <t>Merchandise eCommerce Other Gross Profit</t>
  </si>
  <si>
    <t>merchandiseeCommerceOtherGrossProfit</t>
  </si>
  <si>
    <t>207_Memo</t>
  </si>
  <si>
    <t>Merchandise Total Segment Gross Profit</t>
  </si>
  <si>
    <t>merchandiseTotalSegmentGrossProfit</t>
  </si>
  <si>
    <t>300_MEMO</t>
  </si>
  <si>
    <t>IBG Demand GMV Full Grain</t>
  </si>
  <si>
    <t>iBGDemandGMVFullGrain</t>
  </si>
  <si>
    <t>gMV*demandScalingNode</t>
  </si>
  <si>
    <t>301_MEMO</t>
  </si>
  <si>
    <t>GMV Full Grain</t>
  </si>
  <si>
    <t>gMVFullGrain</t>
  </si>
  <si>
    <t>208_MEMO</t>
  </si>
  <si>
    <t>Merchandise Segment GMV</t>
  </si>
  <si>
    <t>merchandiseSegmentGMV</t>
  </si>
  <si>
    <t>gMV -merchandiseTotalSegmentGMV-merchandiseeCommerceOtherGMV</t>
  </si>
  <si>
    <t>209_MEMO</t>
  </si>
  <si>
    <t>Merchandise eCommerce Other GMV</t>
  </si>
  <si>
    <t>merchandiseeCommerceOtherGMV</t>
  </si>
  <si>
    <t>210_Memo</t>
  </si>
  <si>
    <t>Merchandise Total Segment GMV</t>
  </si>
  <si>
    <t>merchandiseTotalSegmentGMV</t>
  </si>
  <si>
    <t>211_MEMO</t>
  </si>
  <si>
    <t>Merchandise Segment Markdown</t>
  </si>
  <si>
    <t>merchandiseSegmentMarkdown</t>
  </si>
  <si>
    <t>momarkdownsnet - merchandiseTotalSegmentMarkdown-merchandiseeCommerceOtherMarkdown</t>
  </si>
  <si>
    <t>212_MEMO</t>
  </si>
  <si>
    <t>Merchandise eCommerce Other Markdown</t>
  </si>
  <si>
    <t>merchandiseeCommerceOtherMarkdown</t>
  </si>
  <si>
    <t>213_MEMO</t>
  </si>
  <si>
    <t>Merchandise Total Segment Markdown</t>
  </si>
  <si>
    <t>merchandiseTotalSegmentMarkdown</t>
  </si>
  <si>
    <t>217_MEMO</t>
  </si>
  <si>
    <t>Merchandise Segment Shrink</t>
  </si>
  <si>
    <t>merchandiseSegmentShrink</t>
  </si>
  <si>
    <t>provisionforShrink -merchandiseTotalSegmentShrink-merchandiseeCommerceOtherShrink</t>
  </si>
  <si>
    <t>218_MEMO</t>
  </si>
  <si>
    <t>Merchandise eCommerce Other Shrink</t>
  </si>
  <si>
    <t>merchandiseeCommerceOtherShrink</t>
  </si>
  <si>
    <t>219_Memo</t>
  </si>
  <si>
    <t>Merchandise Total Segment Shrink</t>
  </si>
  <si>
    <t>merchandiseTotalSegmentShrink</t>
  </si>
  <si>
    <t>220_MEMO</t>
  </si>
  <si>
    <t>Merchandise Segment Allow</t>
  </si>
  <si>
    <t>merchandiseSegmentAllow</t>
  </si>
  <si>
    <t>buyingAllowances -merchandiseTotalSegmentAllow-merchandiseeCommerceOtherAllow</t>
  </si>
  <si>
    <t>221_MEMO</t>
  </si>
  <si>
    <t>Merchandise eCommerce Other Allow</t>
  </si>
  <si>
    <t>merchandiseeCommerceOtherAllow</t>
  </si>
  <si>
    <t>222_Memo</t>
  </si>
  <si>
    <t>Merchandise Total Segment Allow</t>
  </si>
  <si>
    <t>merchandiseTotalSegmentAllow</t>
  </si>
  <si>
    <t>223_MEMO</t>
  </si>
  <si>
    <t>Counter Pickup Plus Brands GMV</t>
  </si>
  <si>
    <t>counterPickupPlusBrandsGMV</t>
  </si>
  <si>
    <t>counterPickupGMV+brandsGMV</t>
  </si>
  <si>
    <t>224_MEMO</t>
  </si>
  <si>
    <t>Counter Pickup GMV</t>
  </si>
  <si>
    <t>counterPickupGMV</t>
  </si>
  <si>
    <t>SERVICES_PHYSICAL, WMT_PHARMACY_RX, WMT_PHOTO</t>
  </si>
  <si>
    <t>Home_Office_Compliance, Home_Office_Executive, Home_Office_Finance_wo_PR_and_Supply_Chain, Home_Office_HW, Home_Office_Merchandising_wo_PR, Home_Office_Operations, Home_Office_People_wo_Supply_Chain, Home_Office_Support_Other, MPHomeOfficeUS, MPSupplyChainUS, Total_eCommerce_Adjustments, WALMART_US_ADJ, WalmartDOTcom, WMTUS_HOME_OFFICE_ECOMMERCE, WMTUS_HOME_OFFICE_ONE, WMTUS_Manufacturing_mgmt, WMTUS_MARKETING_CIS, WMTUS_Product_and_Innovation, WMTUS_Revenue_Growth, WMTUS_STORE_8, WMTUS_Total_Operations_mgmt, WMTUS_UXUI_DESIGN, US.08717, USSCFY20ADJSTSSC, WMT_US_Supply_Chain_Total_GP,WMT_US_Supply_Chain_Total_SGA,WMTUS_TRANSPORTATION</t>
  </si>
  <si>
    <t>225_MEMO</t>
  </si>
  <si>
    <t>Brands GMV</t>
  </si>
  <si>
    <t>brandsGMV</t>
  </si>
  <si>
    <t>ACQUISITIONS_AND_INCUBATIONS</t>
  </si>
  <si>
    <t>229_MEMO</t>
  </si>
  <si>
    <t>Counter Pickup Plus Brands Net Sales</t>
  </si>
  <si>
    <t>counterPickupPlusBrandsNetSales</t>
  </si>
  <si>
    <t>counterPickupNetSales+brandsNetSales</t>
  </si>
  <si>
    <t>230_MEMO</t>
  </si>
  <si>
    <t>Counter Pickup Net Sales</t>
  </si>
  <si>
    <t>counterPickupNetSales</t>
  </si>
  <si>
    <t>231_MEMO</t>
  </si>
  <si>
    <t>Brands  Net Sales</t>
  </si>
  <si>
    <t>brandsNetSales</t>
  </si>
  <si>
    <t>235_MEMO</t>
  </si>
  <si>
    <t>Counter Pickup Plus Brands GP</t>
  </si>
  <si>
    <t>counterPickupPlusBrandsGP</t>
  </si>
  <si>
    <t>counterPickupGP+brandsGP</t>
  </si>
  <si>
    <t>236_MEMO</t>
  </si>
  <si>
    <t>Counter Pickup GP</t>
  </si>
  <si>
    <t>counterPickupGP</t>
  </si>
  <si>
    <t>237_MEMO</t>
  </si>
  <si>
    <t>Brands GP</t>
  </si>
  <si>
    <t>brandsGP</t>
  </si>
  <si>
    <t>238_MEMO</t>
  </si>
  <si>
    <t>Counter Pickup Plus Brands GP % of Sales</t>
  </si>
  <si>
    <t>counterPickupPlusBrandsGPPctofSales</t>
  </si>
  <si>
    <t>counterPickupPlusBrandsGP/counterPickupPlusBrandsNetSales</t>
  </si>
  <si>
    <t>239_MEMO</t>
  </si>
  <si>
    <t>Counter Pickup GP % of Sales</t>
  </si>
  <si>
    <t>counterPickupGPPctofSales</t>
  </si>
  <si>
    <t>240_MEMO</t>
  </si>
  <si>
    <t>Brands GP % of Sales</t>
  </si>
  <si>
    <t>brandsGPPctofSales</t>
  </si>
  <si>
    <t>241_MEMO</t>
  </si>
  <si>
    <t>Counter Pickup Plus Brands SG&amp;A</t>
  </si>
  <si>
    <t>counterPickupPlusBrandsSGandA</t>
  </si>
  <si>
    <t>counterPickupSGandA+brandsSGandA</t>
  </si>
  <si>
    <t>242_MEMO</t>
  </si>
  <si>
    <t>Counter Pickup SG&amp;A</t>
  </si>
  <si>
    <t>counterPickupSGandA</t>
  </si>
  <si>
    <t>243_MEMO</t>
  </si>
  <si>
    <t>Brands SG&amp;A</t>
  </si>
  <si>
    <t>brandsSGandA</t>
  </si>
  <si>
    <t>244_MEMO</t>
  </si>
  <si>
    <t>Counter Pickup Plus Brands SG&amp;A % of Sales</t>
  </si>
  <si>
    <t>counterPickupPlusBrandsSGandAPctofSales</t>
  </si>
  <si>
    <t>counterPickupPlusBrandsSGandA/counterPickupPlusBrandsNetSales</t>
  </si>
  <si>
    <t>245_MEMO</t>
  </si>
  <si>
    <t>Counter Pickup SG&amp;A % of Sales</t>
  </si>
  <si>
    <t>counterPickupSGandAPctofSales</t>
  </si>
  <si>
    <t>246_MEMO</t>
  </si>
  <si>
    <t>Brands SG&amp;A % of Sales</t>
  </si>
  <si>
    <t>brandsSGandAPctofSales</t>
  </si>
  <si>
    <t>247_MEMO</t>
  </si>
  <si>
    <t>Counter Pickup Plus Brands Other Income</t>
  </si>
  <si>
    <t>counterPickupPlusBrandsOtherIncome</t>
  </si>
  <si>
    <t>counterPickupOtherIncome+brandsOtherIncome</t>
  </si>
  <si>
    <t>248_MEMO</t>
  </si>
  <si>
    <t>Counter Pickup Other Income</t>
  </si>
  <si>
    <t>counterPickupOtherIncome</t>
  </si>
  <si>
    <t>249_MEMO</t>
  </si>
  <si>
    <t>Brands Other Income</t>
  </si>
  <si>
    <t>brandsOtherIncome</t>
  </si>
  <si>
    <t>250_MEMO</t>
  </si>
  <si>
    <t>Counter Pickup Plus Brands Operating Income</t>
  </si>
  <si>
    <t>counterPickupPlusBrandsOperatingIncome</t>
  </si>
  <si>
    <t>counterPickupOperatingIncome+brandsOperatingIncome</t>
  </si>
  <si>
    <t>251_MEMO</t>
  </si>
  <si>
    <t>Counter Pickup Operating Income</t>
  </si>
  <si>
    <t>counterPickupOperatingIncome</t>
  </si>
  <si>
    <t>segmentoperatingincome</t>
  </si>
  <si>
    <t>252_MEMO</t>
  </si>
  <si>
    <t>Brands  Operating Income</t>
  </si>
  <si>
    <t>brandsOperatingIncome</t>
  </si>
  <si>
    <t>253_MEMO</t>
  </si>
  <si>
    <t>Counter Pickup Plus Brands Operating Income % of Sales</t>
  </si>
  <si>
    <t>counterPickupPlusBrandsOperatingIncomePctofSales</t>
  </si>
  <si>
    <t>counterPickupOperatingIncomePctofSales+brandsOtherOperatingIncomePctofSales</t>
  </si>
  <si>
    <t>254_MEMO</t>
  </si>
  <si>
    <t>Counter Pickup Operating Income % of Sales</t>
  </si>
  <si>
    <t>counterPickupOperatingIncomePctofSales</t>
  </si>
  <si>
    <t>255_MEMO</t>
  </si>
  <si>
    <t>Brands Other Operating Income % of Sales</t>
  </si>
  <si>
    <t>brandsOtherOperatingIncomePctofSales</t>
  </si>
  <si>
    <t>256_MEMO</t>
  </si>
  <si>
    <t>Memo Worked Wages</t>
  </si>
  <si>
    <t>memoWorkedWages</t>
  </si>
  <si>
    <t>_101HourlyWagesNonOvertime + _102OvertimeWages</t>
  </si>
  <si>
    <t>SCHEDULED DEMAND</t>
  </si>
  <si>
    <t>1_CANDY, 2_PERSONAL CARE, 3_STATIONERY, 4_HOUSEHOLD PAPER, 5_MEDIA AND GAMING, 6_CAMERAS &amp; SUPPLIES, 7_TOYS, 8_PETS &amp; SUPPLIES, 9_SPORTING GOODS, 10_AUTOMOTIVE, 11_HARDWARE, 12_PAINT &amp; ACCESSORIES, 13_CLEANING, 14_COOK AND DINE, 16_LAWN AND GARDEN, 17_HOME DECOR, 18_SEASONAL, 19, 20_BATH AND SHOWER, 21_BOOKS AND MAGAZINES, 22_BEDDING, 23_MENS APPAREL, 24_BOYS APPAREL, 25_SHOES, 26_BABY AND TODDLER APPAREL, 27_FAMILY SOCKS, 28_HOSIERY, 29_INTIMATE APPAREL, 30_FOUNDATIONS, 31_ACCESSORIES, 32_JEWELRY, 33_GIRLS APPAREL, 34_WOMENS APPAREL, 35_PLUS SIZES/MATERNITY, 36_WOMENS OUTERWEAR, 37_AUTO SERVICE, 40_OTC PHARMACY, 46_BEAUTY, 56_HORTICULTURE, 58_WIRELESS SERVICE INCOME, 67_CELEBRATION, 68_SAMS, 71_FURNITURE, 72_ELECTRONICS, 74_HOME MANAGEMENT, 77_LARGE HOUSEHOLD GOODS, 79_INFANT CONSUMABLE HARDLINES, 80_SERVICE DELI, 81_COM BREAD, 82_IMPULSE MERCHANDISE, 83_SEAFOOD, 84_BALLOONS &amp; FLOWERS, 85_ONE HOUR PHOTO, 87_WIRELESS, 90_DAIRY, 91_FROZEN, 92_GROCERY, 93_MEAT, 94_PRODUCE, 95_DSD GROCERY, 96_LIQUOR, 97_WALL DELI, 98_BAKERY</t>
  </si>
  <si>
    <t>2010_MERCHSALES</t>
  </si>
  <si>
    <t>Service Income (new ds input)</t>
  </si>
  <si>
    <t>serviceIncomenewdsinput</t>
  </si>
  <si>
    <t>58_WIRELESS SERVICE INCOME, 85_ONE HOUR PHOTO, 37_AUTO SERVICE</t>
  </si>
  <si>
    <t>refunds + creditCardChargebacks + ecomreturnsfromomni</t>
  </si>
  <si>
    <t>mpNetCommission + totalCommAdjustment</t>
  </si>
  <si>
    <t>goodwillRefund + dispute + returnShipping + otherCommAdj + wfsFees</t>
  </si>
  <si>
    <t xml:space="preserve">_x000D__x000D__x000D__x000D_
</t>
  </si>
  <si>
    <t>3217_LABOR</t>
  </si>
  <si>
    <t>[01] Salaries and Wages</t>
  </si>
  <si>
    <t>_01salariesAndWages</t>
  </si>
  <si>
    <t>329_LABOR</t>
  </si>
  <si>
    <t>Variable UPLH (Food &amp; Consumables)</t>
  </si>
  <si>
    <t>variableUPLHFoodandConsumables</t>
  </si>
  <si>
    <t>1190_MERCHSALES</t>
  </si>
  <si>
    <t>Demand Scaling Node</t>
  </si>
  <si>
    <t>demandScalingNode</t>
  </si>
  <si>
    <t>(scannedUnitsChannelDeptEntity / scannedUnitsIBGDemand)</t>
  </si>
  <si>
    <t>US.06129, US.06133, US.06134, US.06135, US.06900, US.06136, US.06137, US.06125, US.02895, US.04002, US.04120, US.04121, US.06552, US.06903, US.06909, US.06912, US.07100, US.07101, US.07151, US.07183, US.07184, US.07837, US.07840, US.07904, US.07976, US.09859, US.02301, US.03109, US.06907, US.06956, US.06974, US.07688, US.09173, US.09314</t>
  </si>
  <si>
    <t>US.06129, US.06133, US.06134, US.06135, US.06900, US.06136, US.06137, US.06125</t>
  </si>
  <si>
    <t>US.02895, US.04002, US.04120, US.04121, US.06552, US.06903, US.06909, US.06912, US.07100, US.07101, US.07151, US.07183, US.07184, US.07837, US.07840, US.07904, US.07976, US.09859, US.02301, US.03109, US.06907, US.06956, US.06974, US.07688, US.09173, US.09314</t>
  </si>
  <si>
    <t>grossGMV + ngrossGMVplug</t>
  </si>
  <si>
    <t>2033_MERCHSALES</t>
  </si>
  <si>
    <t>Merchandise Income Historical SOT (Channel- Dept)</t>
  </si>
  <si>
    <t>merchandiseIncomeHistoricalSOTchanneldept</t>
  </si>
  <si>
    <t>2028_MERCHSALES</t>
  </si>
  <si>
    <t>nGross GMV plug</t>
  </si>
  <si>
    <t>ngrossGMVplug</t>
  </si>
  <si>
    <t>(merchandiseIncomeHistoricalSOTchanneldept - grossGMV)</t>
  </si>
  <si>
    <t>nserviceIncome  + financialServicesIncome + otherMerchandServiceIncome + otherservicesincome</t>
  </si>
  <si>
    <t>2030_MERCHSALES</t>
  </si>
  <si>
    <t>nService Income</t>
  </si>
  <si>
    <t>nServiceIncome</t>
  </si>
  <si>
    <t>nServiceIncomecalculated + nServiceIncomeplug</t>
  </si>
  <si>
    <t>2034_MERCHSALES</t>
  </si>
  <si>
    <t>Service Income Historical SOT (Channel- Dept)</t>
  </si>
  <si>
    <t>serviceIncomeHistoricalSOTchanneldept</t>
  </si>
  <si>
    <t>2031_MERCHSALES</t>
  </si>
  <si>
    <t>nService Income plug</t>
  </si>
  <si>
    <t>nServiceIncomeplug</t>
  </si>
  <si>
    <t>(serviceIncomeHistoricalSOTchanneldept - nServiceIncomecalculated)</t>
  </si>
  <si>
    <t>2032_MERCHSALES</t>
  </si>
  <si>
    <t>nService Income calculated</t>
  </si>
  <si>
    <t>nServiceIncomecalculated</t>
  </si>
  <si>
    <t>nGross GMV (total) excl Markatplace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</si>
</sst>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125" workbookViewId="0">
      <selection activeCell="C30" sqref="C30"/>
    </sheetView>
  </sheetViews>
  <sheetFormatPr baseColWidth="10" defaultRowHeight="16" x14ac:dyDescent="0.2"/>
  <cols>
    <col min="1" max="1" width="25.5" customWidth="1"/>
    <col min="2" max="2" width="28.83203125" customWidth="1"/>
    <col min="3" max="3" width="31" customWidth="1"/>
  </cols>
  <sheetData>
    <row r="1" spans="1:12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f>F3+F5</f>
        <v>0</v>
      </c>
      <c r="G2" t="s">
        <v>16</v>
      </c>
      <c r="H2">
        <f t="shared" ref="H2:H28" si="0">G2-F2</f>
        <v>100</v>
      </c>
      <c r="I2" t="s">
        <v>13</v>
      </c>
    </row>
    <row r="3" spans="1:12" x14ac:dyDescent="0.2">
      <c r="A3" t="s">
        <v>17</v>
      </c>
      <c r="B3" t="s">
        <v>18</v>
      </c>
      <c r="C3" t="s">
        <v>19</v>
      </c>
      <c r="D3" t="s">
        <v>14</v>
      </c>
      <c r="E3" t="s">
        <v>20</v>
      </c>
      <c r="F3">
        <f>G4</f>
        <v>0</v>
      </c>
      <c r="G3" t="s">
        <v>21</v>
      </c>
      <c r="H3">
        <f t="shared" si="0"/>
        <v>200</v>
      </c>
      <c r="J3" t="s">
        <v>19</v>
      </c>
    </row>
    <row r="4" spans="1:12" x14ac:dyDescent="0.2">
      <c r="A4" t="s">
        <v>22</v>
      </c>
      <c r="B4" t="s">
        <v>23</v>
      </c>
      <c r="C4" t="s">
        <v>20</v>
      </c>
      <c r="D4" t="s">
        <v>24</v>
      </c>
      <c r="E4">
        <v>0</v>
      </c>
      <c r="F4">
        <f>G4</f>
        <v>0</v>
      </c>
      <c r="H4">
        <f t="shared" si="0"/>
        <v>0</v>
      </c>
      <c r="K4" t="s">
        <v>20</v>
      </c>
    </row>
    <row r="5" spans="1:12" x14ac:dyDescent="0.2">
      <c r="A5" t="s">
        <v>25</v>
      </c>
      <c r="B5" t="s">
        <v>26</v>
      </c>
      <c r="C5" t="s">
        <v>27</v>
      </c>
      <c r="D5" t="s">
        <v>14</v>
      </c>
      <c r="E5" t="s">
        <v>28</v>
      </c>
      <c r="F5">
        <f>F6+F7+F8</f>
        <v>0</v>
      </c>
      <c r="H5">
        <f t="shared" si="0"/>
        <v>0</v>
      </c>
      <c r="J5" t="s">
        <v>27</v>
      </c>
    </row>
    <row r="6" spans="1:12" x14ac:dyDescent="0.2">
      <c r="A6" t="s">
        <v>29</v>
      </c>
      <c r="B6" t="s">
        <v>30</v>
      </c>
      <c r="C6" t="s">
        <v>31</v>
      </c>
      <c r="D6" t="s">
        <v>24</v>
      </c>
      <c r="E6">
        <v>0</v>
      </c>
      <c r="F6">
        <f>G6</f>
        <v>0</v>
      </c>
      <c r="H6">
        <f t="shared" si="0"/>
        <v>0</v>
      </c>
      <c r="K6" t="s">
        <v>31</v>
      </c>
    </row>
    <row r="7" spans="1:12" x14ac:dyDescent="0.2">
      <c r="A7" t="s">
        <v>32</v>
      </c>
      <c r="B7" t="s">
        <v>33</v>
      </c>
      <c r="C7" t="s">
        <v>34</v>
      </c>
      <c r="D7" t="s">
        <v>35</v>
      </c>
      <c r="E7">
        <v>0</v>
      </c>
      <c r="F7">
        <f>G7</f>
        <v>0</v>
      </c>
      <c r="H7">
        <f t="shared" si="0"/>
        <v>0</v>
      </c>
      <c r="K7" t="s">
        <v>34</v>
      </c>
    </row>
    <row r="8" spans="1:12" x14ac:dyDescent="0.2">
      <c r="A8" t="s">
        <v>36</v>
      </c>
      <c r="B8" t="s">
        <v>37</v>
      </c>
      <c r="C8" t="s">
        <v>38</v>
      </c>
      <c r="D8" t="s">
        <v>35</v>
      </c>
      <c r="E8">
        <v>0</v>
      </c>
      <c r="F8">
        <f>G8</f>
        <v>0</v>
      </c>
      <c r="H8">
        <f t="shared" si="0"/>
        <v>0</v>
      </c>
      <c r="K8" t="s">
        <v>38</v>
      </c>
    </row>
    <row r="9" spans="1:12" x14ac:dyDescent="0.2">
      <c r="A9" t="s">
        <v>39</v>
      </c>
      <c r="B9" t="s">
        <v>40</v>
      </c>
      <c r="C9" t="s">
        <v>41</v>
      </c>
      <c r="D9" t="s">
        <v>14</v>
      </c>
      <c r="E9" t="s">
        <v>42</v>
      </c>
      <c r="F9">
        <f>F2+F10</f>
        <v>0</v>
      </c>
      <c r="H9">
        <f t="shared" si="0"/>
        <v>0</v>
      </c>
      <c r="I9" t="s">
        <v>41</v>
      </c>
    </row>
    <row r="10" spans="1:12" x14ac:dyDescent="0.2">
      <c r="A10" t="s">
        <v>43</v>
      </c>
      <c r="B10" t="s">
        <v>44</v>
      </c>
      <c r="C10" t="s">
        <v>45</v>
      </c>
      <c r="D10" t="s">
        <v>14</v>
      </c>
      <c r="E10" t="s">
        <v>46</v>
      </c>
      <c r="F10">
        <f>(-F11+F13+F17+F18)</f>
        <v>0</v>
      </c>
      <c r="H10">
        <f t="shared" si="0"/>
        <v>0</v>
      </c>
      <c r="J10" t="s">
        <v>45</v>
      </c>
    </row>
    <row r="11" spans="1:12" x14ac:dyDescent="0.2">
      <c r="A11" t="s">
        <v>47</v>
      </c>
      <c r="B11" t="s">
        <v>48</v>
      </c>
      <c r="C11" t="s">
        <v>49</v>
      </c>
      <c r="D11" t="s">
        <v>14</v>
      </c>
      <c r="E11" t="s">
        <v>50</v>
      </c>
      <c r="F11">
        <f>F4*F12/100</f>
        <v>0</v>
      </c>
      <c r="H11">
        <f t="shared" si="0"/>
        <v>0</v>
      </c>
      <c r="K11" t="s">
        <v>49</v>
      </c>
    </row>
    <row r="12" spans="1:12" x14ac:dyDescent="0.2">
      <c r="A12" t="s">
        <v>51</v>
      </c>
      <c r="B12" t="s">
        <v>52</v>
      </c>
      <c r="C12" t="s">
        <v>53</v>
      </c>
      <c r="D12" t="s">
        <v>24</v>
      </c>
      <c r="E12">
        <v>0</v>
      </c>
      <c r="F12">
        <f>G12</f>
        <v>0</v>
      </c>
      <c r="H12">
        <f t="shared" si="0"/>
        <v>0</v>
      </c>
      <c r="L12" t="s">
        <v>53</v>
      </c>
    </row>
    <row r="13" spans="1:12" x14ac:dyDescent="0.2">
      <c r="A13" t="s">
        <v>54</v>
      </c>
      <c r="B13" t="s">
        <v>55</v>
      </c>
      <c r="C13" t="s">
        <v>56</v>
      </c>
      <c r="D13" t="s">
        <v>14</v>
      </c>
      <c r="E13" t="s">
        <v>57</v>
      </c>
      <c r="F13">
        <f>F14+F15-F16</f>
        <v>0</v>
      </c>
      <c r="H13">
        <f t="shared" si="0"/>
        <v>0</v>
      </c>
      <c r="K13" t="s">
        <v>56</v>
      </c>
    </row>
    <row r="14" spans="1:12" x14ac:dyDescent="0.2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>
        <f t="shared" ref="F14:F19" si="1">G14</f>
        <v>0</v>
      </c>
      <c r="H14">
        <f t="shared" si="0"/>
        <v>0</v>
      </c>
      <c r="L14" t="s">
        <v>60</v>
      </c>
    </row>
    <row r="15" spans="1:12" x14ac:dyDescent="0.2">
      <c r="A15" t="s">
        <v>63</v>
      </c>
      <c r="B15" t="s">
        <v>64</v>
      </c>
      <c r="C15" t="s">
        <v>65</v>
      </c>
      <c r="D15" t="s">
        <v>24</v>
      </c>
      <c r="E15">
        <v>0</v>
      </c>
      <c r="F15">
        <f t="shared" si="1"/>
        <v>0</v>
      </c>
      <c r="H15">
        <f t="shared" si="0"/>
        <v>0</v>
      </c>
      <c r="L15" t="s">
        <v>65</v>
      </c>
    </row>
    <row r="16" spans="1:12" x14ac:dyDescent="0.2">
      <c r="A16" t="s">
        <v>66</v>
      </c>
      <c r="B16" t="s">
        <v>67</v>
      </c>
      <c r="C16" t="s">
        <v>68</v>
      </c>
      <c r="D16" t="s">
        <v>35</v>
      </c>
      <c r="E16">
        <v>0</v>
      </c>
      <c r="F16">
        <f t="shared" si="1"/>
        <v>0</v>
      </c>
      <c r="H16">
        <f t="shared" si="0"/>
        <v>0</v>
      </c>
      <c r="L16" t="s">
        <v>68</v>
      </c>
    </row>
    <row r="17" spans="1:11" x14ac:dyDescent="0.2">
      <c r="A17" t="s">
        <v>69</v>
      </c>
      <c r="B17" t="s">
        <v>70</v>
      </c>
      <c r="C17" t="s">
        <v>71</v>
      </c>
      <c r="D17" t="s">
        <v>61</v>
      </c>
      <c r="E17" t="s">
        <v>72</v>
      </c>
      <c r="F17">
        <f t="shared" si="1"/>
        <v>0</v>
      </c>
      <c r="H17">
        <f t="shared" si="0"/>
        <v>0</v>
      </c>
      <c r="K17" t="s">
        <v>71</v>
      </c>
    </row>
    <row r="18" spans="1:11" x14ac:dyDescent="0.2">
      <c r="A18" t="s">
        <v>73</v>
      </c>
      <c r="B18" t="s">
        <v>74</v>
      </c>
      <c r="C18" t="s">
        <v>75</v>
      </c>
      <c r="D18" t="s">
        <v>24</v>
      </c>
      <c r="E18">
        <v>0</v>
      </c>
      <c r="F18">
        <f t="shared" si="1"/>
        <v>0</v>
      </c>
      <c r="H18">
        <f t="shared" si="0"/>
        <v>0</v>
      </c>
      <c r="K18" t="s">
        <v>75</v>
      </c>
    </row>
    <row r="19" spans="1:11" x14ac:dyDescent="0.2">
      <c r="A19" t="s">
        <v>76</v>
      </c>
      <c r="B19" t="s">
        <v>77</v>
      </c>
      <c r="C19" t="s">
        <v>78</v>
      </c>
      <c r="D19" t="s">
        <v>24</v>
      </c>
      <c r="E19">
        <v>0</v>
      </c>
      <c r="F19">
        <f t="shared" si="1"/>
        <v>0</v>
      </c>
      <c r="H19">
        <f t="shared" si="0"/>
        <v>0</v>
      </c>
      <c r="I19" t="s">
        <v>78</v>
      </c>
    </row>
    <row r="20" spans="1:11" x14ac:dyDescent="0.2">
      <c r="A20" t="s">
        <v>79</v>
      </c>
      <c r="B20" t="s">
        <v>80</v>
      </c>
      <c r="C20" t="s">
        <v>81</v>
      </c>
      <c r="D20" t="s">
        <v>14</v>
      </c>
      <c r="E20" t="s">
        <v>82</v>
      </c>
      <c r="F20">
        <f>F19-F21+F23</f>
        <v>0</v>
      </c>
      <c r="H20">
        <f t="shared" si="0"/>
        <v>0</v>
      </c>
      <c r="I20" t="s">
        <v>81</v>
      </c>
    </row>
    <row r="21" spans="1:11" x14ac:dyDescent="0.2">
      <c r="A21" t="s">
        <v>83</v>
      </c>
      <c r="B21" t="s">
        <v>84</v>
      </c>
      <c r="C21" t="s">
        <v>85</v>
      </c>
      <c r="D21" t="s">
        <v>14</v>
      </c>
      <c r="E21" t="s">
        <v>86</v>
      </c>
      <c r="F21">
        <f>F19*F22%</f>
        <v>0</v>
      </c>
      <c r="H21">
        <f t="shared" si="0"/>
        <v>0</v>
      </c>
      <c r="J21" t="s">
        <v>85</v>
      </c>
    </row>
    <row r="22" spans="1:11" x14ac:dyDescent="0.2">
      <c r="A22" t="s">
        <v>87</v>
      </c>
      <c r="B22" t="s">
        <v>88</v>
      </c>
      <c r="C22" t="s">
        <v>89</v>
      </c>
      <c r="D22" t="s">
        <v>24</v>
      </c>
      <c r="E22">
        <v>0</v>
      </c>
      <c r="F22">
        <f>G22</f>
        <v>0</v>
      </c>
      <c r="H22">
        <f t="shared" si="0"/>
        <v>0</v>
      </c>
      <c r="K22" t="s">
        <v>89</v>
      </c>
    </row>
    <row r="23" spans="1:11" x14ac:dyDescent="0.2">
      <c r="A23" t="s">
        <v>90</v>
      </c>
      <c r="B23" t="s">
        <v>91</v>
      </c>
      <c r="C23" t="s">
        <v>92</v>
      </c>
      <c r="D23" t="s">
        <v>24</v>
      </c>
      <c r="E23">
        <v>0</v>
      </c>
      <c r="F23">
        <f>G23</f>
        <v>0</v>
      </c>
      <c r="H23">
        <f t="shared" si="0"/>
        <v>0</v>
      </c>
      <c r="J23" t="s">
        <v>92</v>
      </c>
    </row>
    <row r="24" spans="1:11" x14ac:dyDescent="0.2">
      <c r="A24" t="s">
        <v>93</v>
      </c>
      <c r="B24" t="s">
        <v>94</v>
      </c>
      <c r="C24" t="s">
        <v>95</v>
      </c>
      <c r="D24" t="s">
        <v>14</v>
      </c>
      <c r="E24" t="s">
        <v>96</v>
      </c>
      <c r="F24">
        <f>F25+F27</f>
        <v>0</v>
      </c>
      <c r="H24">
        <f t="shared" si="0"/>
        <v>0</v>
      </c>
      <c r="I24" t="s">
        <v>95</v>
      </c>
    </row>
    <row r="25" spans="1:11" x14ac:dyDescent="0.2">
      <c r="A25" t="s">
        <v>97</v>
      </c>
      <c r="B25" t="s">
        <v>98</v>
      </c>
      <c r="C25" t="s">
        <v>99</v>
      </c>
      <c r="D25" t="s">
        <v>14</v>
      </c>
      <c r="E25" t="s">
        <v>100</v>
      </c>
      <c r="F25">
        <f>F26*F19/100</f>
        <v>0</v>
      </c>
      <c r="H25">
        <f t="shared" si="0"/>
        <v>0</v>
      </c>
      <c r="J25" t="s">
        <v>99</v>
      </c>
    </row>
    <row r="26" spans="1:11" x14ac:dyDescent="0.2">
      <c r="A26" t="s">
        <v>101</v>
      </c>
      <c r="B26" t="s">
        <v>102</v>
      </c>
      <c r="C26" t="s">
        <v>103</v>
      </c>
      <c r="D26" t="s">
        <v>35</v>
      </c>
      <c r="E26">
        <v>0</v>
      </c>
      <c r="F26">
        <f>G26</f>
        <v>0</v>
      </c>
      <c r="H26">
        <f t="shared" si="0"/>
        <v>0</v>
      </c>
      <c r="K26" t="s">
        <v>103</v>
      </c>
    </row>
    <row r="27" spans="1:11" x14ac:dyDescent="0.2">
      <c r="A27" t="s">
        <v>104</v>
      </c>
      <c r="B27" t="s">
        <v>105</v>
      </c>
      <c r="C27" t="s">
        <v>106</v>
      </c>
      <c r="D27" t="s">
        <v>14</v>
      </c>
      <c r="E27" t="s">
        <v>107</v>
      </c>
      <c r="F27">
        <f>F25*F28/100</f>
        <v>0</v>
      </c>
      <c r="H27">
        <f t="shared" si="0"/>
        <v>0</v>
      </c>
      <c r="J27" t="s">
        <v>106</v>
      </c>
    </row>
    <row r="28" spans="1:11" x14ac:dyDescent="0.2">
      <c r="A28" t="s">
        <v>108</v>
      </c>
      <c r="B28" t="s">
        <v>109</v>
      </c>
      <c r="C28" t="s">
        <v>110</v>
      </c>
      <c r="D28" t="s">
        <v>24</v>
      </c>
      <c r="E28">
        <v>0</v>
      </c>
      <c r="F28">
        <f>G28</f>
        <v>0</v>
      </c>
      <c r="H28">
        <f t="shared" si="0"/>
        <v>0</v>
      </c>
      <c r="K28" t="s">
        <v>110</v>
      </c>
    </row>
  </sheetData>
  <autoFilter ref="A1:M28" xr:uid="{00000000-0009-0000-0000-000000000000}"/>
  <pageMargins left="0.7" right="0.7" top="0.75" bottom="0.75" header="0.3" footer="0.3"/>
  <ignoredErrors>
    <ignoredError sqref="A1:L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03"/>
  <sheetViews>
    <sheetView workbookViewId="0"/>
  </sheetViews>
  <sheetFormatPr baseColWidth="10" defaultRowHeight="16" x14ac:dyDescent="0.2"/>
  <sheetData>
    <row r="1" spans="1:20" x14ac:dyDescent="0.2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3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</row>
    <row r="2" spans="1:20" x14ac:dyDescent="0.2">
      <c r="A2" t="s">
        <v>130</v>
      </c>
      <c r="B2" t="s">
        <v>131</v>
      </c>
      <c r="C2" t="s">
        <v>132</v>
      </c>
      <c r="D2" t="s">
        <v>61</v>
      </c>
      <c r="E2" t="s">
        <v>133</v>
      </c>
      <c r="F2" t="s">
        <v>133</v>
      </c>
      <c r="G2" t="s">
        <v>133</v>
      </c>
      <c r="K2" t="s">
        <v>134</v>
      </c>
      <c r="L2" t="s">
        <v>135</v>
      </c>
      <c r="M2" t="s">
        <v>136</v>
      </c>
      <c r="R2" t="s">
        <v>137</v>
      </c>
    </row>
    <row r="3" spans="1:20" x14ac:dyDescent="0.2">
      <c r="A3" t="s">
        <v>138</v>
      </c>
      <c r="B3" t="s">
        <v>139</v>
      </c>
      <c r="C3" t="s">
        <v>140</v>
      </c>
      <c r="D3" t="s">
        <v>61</v>
      </c>
      <c r="E3" t="s">
        <v>133</v>
      </c>
      <c r="F3" t="s">
        <v>133</v>
      </c>
      <c r="G3" t="s">
        <v>133</v>
      </c>
      <c r="K3" t="s">
        <v>141</v>
      </c>
      <c r="L3" t="s">
        <v>135</v>
      </c>
      <c r="M3" t="s">
        <v>136</v>
      </c>
    </row>
    <row r="4" spans="1:20" x14ac:dyDescent="0.2">
      <c r="A4" t="s">
        <v>142</v>
      </c>
      <c r="B4" t="s">
        <v>143</v>
      </c>
      <c r="C4" t="s">
        <v>144</v>
      </c>
      <c r="D4" t="s">
        <v>61</v>
      </c>
      <c r="E4" t="s">
        <v>133</v>
      </c>
      <c r="F4" t="s">
        <v>133</v>
      </c>
      <c r="G4" t="s">
        <v>133</v>
      </c>
      <c r="K4" t="s">
        <v>145</v>
      </c>
      <c r="M4" t="s">
        <v>137</v>
      </c>
    </row>
    <row r="5" spans="1:20" x14ac:dyDescent="0.2">
      <c r="A5" t="s">
        <v>146</v>
      </c>
      <c r="B5" t="s">
        <v>147</v>
      </c>
      <c r="C5" t="s">
        <v>148</v>
      </c>
      <c r="D5" t="s">
        <v>61</v>
      </c>
      <c r="E5" t="s">
        <v>133</v>
      </c>
      <c r="F5" t="s">
        <v>133</v>
      </c>
      <c r="G5" t="s">
        <v>133</v>
      </c>
      <c r="K5" t="s">
        <v>149</v>
      </c>
      <c r="L5" t="s">
        <v>135</v>
      </c>
      <c r="M5" t="s">
        <v>137</v>
      </c>
      <c r="O5" t="s">
        <v>150</v>
      </c>
    </row>
    <row r="6" spans="1:20" x14ac:dyDescent="0.2">
      <c r="A6" t="s">
        <v>151</v>
      </c>
      <c r="B6" t="s">
        <v>152</v>
      </c>
      <c r="C6" t="s">
        <v>153</v>
      </c>
      <c r="D6" t="s">
        <v>61</v>
      </c>
      <c r="E6" t="s">
        <v>133</v>
      </c>
      <c r="F6" t="s">
        <v>133</v>
      </c>
      <c r="G6" t="s">
        <v>133</v>
      </c>
      <c r="K6" t="s">
        <v>154</v>
      </c>
      <c r="M6" t="s">
        <v>137</v>
      </c>
      <c r="O6" t="s">
        <v>150</v>
      </c>
    </row>
    <row r="7" spans="1:20" x14ac:dyDescent="0.2">
      <c r="A7" t="s">
        <v>155</v>
      </c>
      <c r="B7" t="s">
        <v>156</v>
      </c>
      <c r="C7" t="s">
        <v>157</v>
      </c>
      <c r="D7" t="s">
        <v>61</v>
      </c>
      <c r="E7" t="s">
        <v>133</v>
      </c>
      <c r="F7" t="s">
        <v>158</v>
      </c>
      <c r="G7" t="s">
        <v>133</v>
      </c>
      <c r="K7" t="s">
        <v>159</v>
      </c>
      <c r="L7" t="s">
        <v>160</v>
      </c>
      <c r="M7" t="s">
        <v>137</v>
      </c>
      <c r="O7" t="s">
        <v>161</v>
      </c>
    </row>
    <row r="8" spans="1:20" x14ac:dyDescent="0.2">
      <c r="A8" t="s">
        <v>155</v>
      </c>
      <c r="B8" t="s">
        <v>156</v>
      </c>
      <c r="C8" t="s">
        <v>157</v>
      </c>
      <c r="D8" t="s">
        <v>61</v>
      </c>
      <c r="E8" t="s">
        <v>133</v>
      </c>
      <c r="F8" t="s">
        <v>162</v>
      </c>
      <c r="G8" t="s">
        <v>133</v>
      </c>
      <c r="K8" t="s">
        <v>163</v>
      </c>
      <c r="M8" t="s">
        <v>137</v>
      </c>
      <c r="O8" t="s">
        <v>161</v>
      </c>
    </row>
    <row r="9" spans="1:20" x14ac:dyDescent="0.2">
      <c r="A9" t="s">
        <v>164</v>
      </c>
      <c r="B9" t="s">
        <v>165</v>
      </c>
      <c r="C9" t="s">
        <v>166</v>
      </c>
      <c r="D9" t="s">
        <v>61</v>
      </c>
      <c r="E9" t="s">
        <v>133</v>
      </c>
      <c r="F9" t="s">
        <v>133</v>
      </c>
      <c r="G9" t="s">
        <v>133</v>
      </c>
      <c r="K9" t="s">
        <v>167</v>
      </c>
      <c r="M9" t="s">
        <v>137</v>
      </c>
      <c r="O9" t="s">
        <v>150</v>
      </c>
    </row>
    <row r="10" spans="1:20" x14ac:dyDescent="0.2">
      <c r="A10" t="s">
        <v>168</v>
      </c>
      <c r="B10" t="s">
        <v>169</v>
      </c>
      <c r="C10" t="s">
        <v>170</v>
      </c>
      <c r="D10" t="s">
        <v>61</v>
      </c>
      <c r="E10" t="s">
        <v>133</v>
      </c>
      <c r="F10" t="s">
        <v>133</v>
      </c>
      <c r="G10" t="s">
        <v>133</v>
      </c>
      <c r="K10" t="s">
        <v>171</v>
      </c>
      <c r="M10" t="s">
        <v>137</v>
      </c>
      <c r="O10" t="s">
        <v>150</v>
      </c>
    </row>
    <row r="11" spans="1:20" x14ac:dyDescent="0.2">
      <c r="A11" t="s">
        <v>172</v>
      </c>
      <c r="B11" t="s">
        <v>173</v>
      </c>
      <c r="C11" t="s">
        <v>174</v>
      </c>
      <c r="D11" t="s">
        <v>61</v>
      </c>
      <c r="E11" t="s">
        <v>133</v>
      </c>
      <c r="F11" t="s">
        <v>133</v>
      </c>
      <c r="G11" t="s">
        <v>133</v>
      </c>
      <c r="K11" t="s">
        <v>175</v>
      </c>
      <c r="M11" t="s">
        <v>137</v>
      </c>
      <c r="O11" t="s">
        <v>161</v>
      </c>
      <c r="Q11" t="s">
        <v>175</v>
      </c>
    </row>
    <row r="12" spans="1:20" x14ac:dyDescent="0.2">
      <c r="A12" t="s">
        <v>176</v>
      </c>
      <c r="B12" t="s">
        <v>177</v>
      </c>
      <c r="C12" t="s">
        <v>178</v>
      </c>
      <c r="D12" t="s">
        <v>61</v>
      </c>
      <c r="E12" t="s">
        <v>133</v>
      </c>
      <c r="F12" t="s">
        <v>133</v>
      </c>
      <c r="K12" t="s">
        <v>179</v>
      </c>
      <c r="L12" t="s">
        <v>135</v>
      </c>
      <c r="M12" t="s">
        <v>137</v>
      </c>
      <c r="O12" t="s">
        <v>150</v>
      </c>
    </row>
    <row r="13" spans="1:20" x14ac:dyDescent="0.2">
      <c r="A13" t="s">
        <v>180</v>
      </c>
      <c r="B13" t="s">
        <v>181</v>
      </c>
      <c r="C13" t="s">
        <v>182</v>
      </c>
      <c r="D13" t="s">
        <v>61</v>
      </c>
      <c r="E13" t="s">
        <v>133</v>
      </c>
      <c r="F13" t="s">
        <v>133</v>
      </c>
      <c r="G13" t="s">
        <v>133</v>
      </c>
      <c r="K13" t="s">
        <v>183</v>
      </c>
      <c r="M13" t="s">
        <v>137</v>
      </c>
      <c r="O13" t="s">
        <v>150</v>
      </c>
    </row>
    <row r="14" spans="1:20" x14ac:dyDescent="0.2">
      <c r="A14" t="s">
        <v>184</v>
      </c>
      <c r="B14" t="s">
        <v>185</v>
      </c>
      <c r="C14" t="s">
        <v>186</v>
      </c>
      <c r="D14" t="s">
        <v>61</v>
      </c>
      <c r="E14" t="s">
        <v>133</v>
      </c>
      <c r="F14" t="s">
        <v>133</v>
      </c>
      <c r="G14" t="s">
        <v>133</v>
      </c>
      <c r="H14" t="s">
        <v>133</v>
      </c>
      <c r="K14" t="s">
        <v>187</v>
      </c>
      <c r="M14" t="s">
        <v>136</v>
      </c>
    </row>
    <row r="15" spans="1:20" x14ac:dyDescent="0.2">
      <c r="A15" t="s">
        <v>188</v>
      </c>
      <c r="B15" t="s">
        <v>189</v>
      </c>
      <c r="C15" t="s">
        <v>190</v>
      </c>
      <c r="D15" t="s">
        <v>61</v>
      </c>
      <c r="E15" t="s">
        <v>133</v>
      </c>
      <c r="F15" t="s">
        <v>133</v>
      </c>
      <c r="G15" t="s">
        <v>133</v>
      </c>
      <c r="K15" t="s">
        <v>191</v>
      </c>
      <c r="M15" t="s">
        <v>137</v>
      </c>
      <c r="N15">
        <v>1</v>
      </c>
      <c r="O15" t="s">
        <v>161</v>
      </c>
    </row>
    <row r="16" spans="1:20" x14ac:dyDescent="0.2">
      <c r="A16" t="s">
        <v>192</v>
      </c>
      <c r="B16" t="s">
        <v>193</v>
      </c>
      <c r="C16" t="s">
        <v>194</v>
      </c>
      <c r="D16" t="s">
        <v>61</v>
      </c>
      <c r="E16" t="s">
        <v>133</v>
      </c>
      <c r="F16" t="s">
        <v>133</v>
      </c>
      <c r="G16" t="s">
        <v>133</v>
      </c>
      <c r="K16" t="s">
        <v>195</v>
      </c>
      <c r="M16" t="s">
        <v>137</v>
      </c>
      <c r="O16" t="s">
        <v>161</v>
      </c>
    </row>
    <row r="17" spans="1:16" x14ac:dyDescent="0.2">
      <c r="A17" t="s">
        <v>196</v>
      </c>
      <c r="B17" t="s">
        <v>197</v>
      </c>
      <c r="C17" t="s">
        <v>198</v>
      </c>
      <c r="D17" t="s">
        <v>61</v>
      </c>
      <c r="E17" t="s">
        <v>133</v>
      </c>
      <c r="F17" t="s">
        <v>133</v>
      </c>
      <c r="G17" t="s">
        <v>133</v>
      </c>
      <c r="K17" t="s">
        <v>199</v>
      </c>
      <c r="M17" t="s">
        <v>137</v>
      </c>
      <c r="O17" t="s">
        <v>161</v>
      </c>
    </row>
    <row r="18" spans="1:16" x14ac:dyDescent="0.2">
      <c r="A18" t="s">
        <v>200</v>
      </c>
      <c r="B18" t="s">
        <v>201</v>
      </c>
      <c r="C18" t="s">
        <v>163</v>
      </c>
      <c r="D18" t="s">
        <v>61</v>
      </c>
      <c r="E18" t="s">
        <v>133</v>
      </c>
      <c r="F18" t="s">
        <v>133</v>
      </c>
      <c r="G18" t="s">
        <v>133</v>
      </c>
      <c r="K18" t="s">
        <v>202</v>
      </c>
      <c r="M18" t="s">
        <v>137</v>
      </c>
      <c r="O18" t="s">
        <v>161</v>
      </c>
    </row>
    <row r="19" spans="1:16" x14ac:dyDescent="0.2">
      <c r="A19" t="s">
        <v>203</v>
      </c>
      <c r="B19" t="s">
        <v>204</v>
      </c>
      <c r="C19" t="s">
        <v>205</v>
      </c>
      <c r="D19" t="s">
        <v>61</v>
      </c>
      <c r="E19" t="s">
        <v>133</v>
      </c>
      <c r="F19" t="s">
        <v>133</v>
      </c>
      <c r="G19" t="s">
        <v>133</v>
      </c>
      <c r="K19" t="s">
        <v>206</v>
      </c>
      <c r="M19" t="s">
        <v>137</v>
      </c>
      <c r="O19" t="s">
        <v>161</v>
      </c>
    </row>
    <row r="20" spans="1:16" x14ac:dyDescent="0.2">
      <c r="A20" t="s">
        <v>207</v>
      </c>
      <c r="B20" t="s">
        <v>208</v>
      </c>
      <c r="C20" t="s">
        <v>209</v>
      </c>
      <c r="D20" t="s">
        <v>61</v>
      </c>
      <c r="E20" t="s">
        <v>133</v>
      </c>
      <c r="F20" t="s">
        <v>133</v>
      </c>
      <c r="G20" t="s">
        <v>210</v>
      </c>
      <c r="K20" t="s">
        <v>159</v>
      </c>
      <c r="L20" t="s">
        <v>160</v>
      </c>
      <c r="M20" t="s">
        <v>137</v>
      </c>
      <c r="O20" t="s">
        <v>161</v>
      </c>
    </row>
    <row r="21" spans="1:16" x14ac:dyDescent="0.2">
      <c r="A21" t="s">
        <v>211</v>
      </c>
      <c r="B21" t="s">
        <v>212</v>
      </c>
      <c r="C21" t="s">
        <v>213</v>
      </c>
      <c r="D21" t="s">
        <v>61</v>
      </c>
      <c r="E21" t="s">
        <v>133</v>
      </c>
      <c r="F21" t="s">
        <v>133</v>
      </c>
      <c r="G21" t="s">
        <v>210</v>
      </c>
      <c r="K21" t="s">
        <v>214</v>
      </c>
      <c r="L21" t="s">
        <v>160</v>
      </c>
      <c r="M21" t="s">
        <v>137</v>
      </c>
      <c r="O21" t="s">
        <v>161</v>
      </c>
    </row>
    <row r="22" spans="1:16" x14ac:dyDescent="0.2">
      <c r="A22" t="s">
        <v>215</v>
      </c>
      <c r="B22" t="s">
        <v>216</v>
      </c>
      <c r="C22" t="s">
        <v>217</v>
      </c>
      <c r="D22" t="s">
        <v>61</v>
      </c>
      <c r="E22" t="s">
        <v>133</v>
      </c>
      <c r="F22" t="s">
        <v>133</v>
      </c>
      <c r="G22" t="s">
        <v>210</v>
      </c>
      <c r="K22" t="s">
        <v>218</v>
      </c>
      <c r="L22" t="s">
        <v>160</v>
      </c>
      <c r="M22" t="s">
        <v>137</v>
      </c>
      <c r="O22" t="s">
        <v>161</v>
      </c>
    </row>
    <row r="23" spans="1:16" x14ac:dyDescent="0.2">
      <c r="A23" t="s">
        <v>207</v>
      </c>
      <c r="B23" t="s">
        <v>208</v>
      </c>
      <c r="C23" t="s">
        <v>209</v>
      </c>
      <c r="D23" t="s">
        <v>61</v>
      </c>
      <c r="E23" t="s">
        <v>133</v>
      </c>
      <c r="F23" t="s">
        <v>219</v>
      </c>
      <c r="G23" t="s">
        <v>220</v>
      </c>
      <c r="K23" t="s">
        <v>159</v>
      </c>
      <c r="L23" t="s">
        <v>160</v>
      </c>
      <c r="M23" t="s">
        <v>137</v>
      </c>
      <c r="O23" t="s">
        <v>161</v>
      </c>
    </row>
    <row r="24" spans="1:16" x14ac:dyDescent="0.2">
      <c r="A24" t="s">
        <v>211</v>
      </c>
      <c r="B24" t="s">
        <v>212</v>
      </c>
      <c r="C24" t="s">
        <v>213</v>
      </c>
      <c r="D24" t="s">
        <v>61</v>
      </c>
      <c r="E24" t="s">
        <v>133</v>
      </c>
      <c r="F24" t="s">
        <v>219</v>
      </c>
      <c r="G24" t="s">
        <v>220</v>
      </c>
      <c r="K24" t="s">
        <v>214</v>
      </c>
      <c r="L24" t="s">
        <v>160</v>
      </c>
      <c r="M24" t="s">
        <v>137</v>
      </c>
      <c r="O24" t="s">
        <v>161</v>
      </c>
    </row>
    <row r="25" spans="1:16" x14ac:dyDescent="0.2">
      <c r="A25" t="s">
        <v>215</v>
      </c>
      <c r="B25" t="s">
        <v>216</v>
      </c>
      <c r="C25" t="s">
        <v>217</v>
      </c>
      <c r="D25" t="s">
        <v>61</v>
      </c>
      <c r="E25" t="s">
        <v>133</v>
      </c>
      <c r="F25" t="s">
        <v>219</v>
      </c>
      <c r="G25" t="s">
        <v>220</v>
      </c>
      <c r="K25" t="s">
        <v>218</v>
      </c>
      <c r="L25" t="s">
        <v>160</v>
      </c>
      <c r="M25" t="s">
        <v>137</v>
      </c>
      <c r="O25" t="s">
        <v>161</v>
      </c>
    </row>
    <row r="26" spans="1:16" x14ac:dyDescent="0.2">
      <c r="A26" t="s">
        <v>221</v>
      </c>
      <c r="B26" t="s">
        <v>222</v>
      </c>
      <c r="C26" t="s">
        <v>223</v>
      </c>
      <c r="D26" t="s">
        <v>61</v>
      </c>
      <c r="E26" t="s">
        <v>133</v>
      </c>
      <c r="F26" t="s">
        <v>133</v>
      </c>
      <c r="G26" t="s">
        <v>133</v>
      </c>
      <c r="K26" t="s">
        <v>224</v>
      </c>
      <c r="L26" t="s">
        <v>160</v>
      </c>
      <c r="M26" t="s">
        <v>137</v>
      </c>
      <c r="O26" t="s">
        <v>161</v>
      </c>
    </row>
    <row r="27" spans="1:16" x14ac:dyDescent="0.2">
      <c r="A27" t="s">
        <v>225</v>
      </c>
      <c r="B27" t="s">
        <v>226</v>
      </c>
      <c r="C27" t="s">
        <v>227</v>
      </c>
      <c r="D27" t="s">
        <v>61</v>
      </c>
      <c r="E27" t="s">
        <v>133</v>
      </c>
      <c r="F27" t="s">
        <v>133</v>
      </c>
      <c r="G27" t="s">
        <v>133</v>
      </c>
      <c r="K27" t="s">
        <v>228</v>
      </c>
      <c r="L27" t="s">
        <v>160</v>
      </c>
      <c r="M27" t="s">
        <v>137</v>
      </c>
      <c r="O27" t="s">
        <v>161</v>
      </c>
    </row>
    <row r="28" spans="1:16" x14ac:dyDescent="0.2">
      <c r="A28" t="s">
        <v>229</v>
      </c>
      <c r="B28" t="s">
        <v>230</v>
      </c>
      <c r="C28" t="s">
        <v>231</v>
      </c>
      <c r="D28" t="s">
        <v>61</v>
      </c>
      <c r="E28" t="s">
        <v>133</v>
      </c>
      <c r="F28" t="s">
        <v>133</v>
      </c>
      <c r="G28" t="s">
        <v>133</v>
      </c>
      <c r="H28" t="s">
        <v>133</v>
      </c>
      <c r="K28" t="s">
        <v>232</v>
      </c>
      <c r="L28" t="s">
        <v>135</v>
      </c>
      <c r="M28" t="s">
        <v>137</v>
      </c>
      <c r="N28">
        <v>6</v>
      </c>
      <c r="O28" t="s">
        <v>161</v>
      </c>
      <c r="P28" t="s">
        <v>233</v>
      </c>
    </row>
    <row r="29" spans="1:16" x14ac:dyDescent="0.2">
      <c r="A29" t="s">
        <v>234</v>
      </c>
      <c r="B29" t="s">
        <v>235</v>
      </c>
      <c r="C29" t="s">
        <v>236</v>
      </c>
      <c r="D29" t="s">
        <v>61</v>
      </c>
      <c r="E29" t="s">
        <v>133</v>
      </c>
      <c r="F29" t="s">
        <v>133</v>
      </c>
      <c r="G29" t="s">
        <v>133</v>
      </c>
      <c r="H29" t="s">
        <v>133</v>
      </c>
      <c r="K29" t="s">
        <v>237</v>
      </c>
      <c r="M29" t="s">
        <v>137</v>
      </c>
      <c r="N29">
        <v>3</v>
      </c>
      <c r="O29" t="s">
        <v>161</v>
      </c>
      <c r="P29" t="s">
        <v>238</v>
      </c>
    </row>
    <row r="30" spans="1:16" x14ac:dyDescent="0.2">
      <c r="A30" t="s">
        <v>239</v>
      </c>
      <c r="B30" t="s">
        <v>240</v>
      </c>
      <c r="C30" t="s">
        <v>241</v>
      </c>
      <c r="D30" t="s">
        <v>61</v>
      </c>
      <c r="E30" t="s">
        <v>133</v>
      </c>
      <c r="F30" t="s">
        <v>133</v>
      </c>
      <c r="G30" t="s">
        <v>133</v>
      </c>
      <c r="H30" t="s">
        <v>133</v>
      </c>
      <c r="K30" t="s">
        <v>242</v>
      </c>
      <c r="M30" t="s">
        <v>137</v>
      </c>
      <c r="N30">
        <v>2</v>
      </c>
      <c r="O30" t="s">
        <v>161</v>
      </c>
      <c r="P30" t="s">
        <v>243</v>
      </c>
    </row>
    <row r="31" spans="1:16" x14ac:dyDescent="0.2">
      <c r="A31" t="s">
        <v>244</v>
      </c>
      <c r="B31" t="s">
        <v>245</v>
      </c>
      <c r="C31" t="s">
        <v>246</v>
      </c>
      <c r="D31" t="s">
        <v>61</v>
      </c>
      <c r="E31" t="s">
        <v>133</v>
      </c>
      <c r="F31" t="s">
        <v>133</v>
      </c>
      <c r="G31" t="s">
        <v>133</v>
      </c>
      <c r="H31" t="s">
        <v>133</v>
      </c>
      <c r="K31" t="s">
        <v>247</v>
      </c>
      <c r="M31" t="s">
        <v>137</v>
      </c>
      <c r="O31" t="s">
        <v>161</v>
      </c>
      <c r="P31">
        <v>410100</v>
      </c>
    </row>
    <row r="32" spans="1:16" x14ac:dyDescent="0.2">
      <c r="A32" t="s">
        <v>248</v>
      </c>
      <c r="B32" t="s">
        <v>249</v>
      </c>
      <c r="C32" t="s">
        <v>250</v>
      </c>
      <c r="D32" t="s">
        <v>61</v>
      </c>
      <c r="E32" t="s">
        <v>133</v>
      </c>
      <c r="F32" t="s">
        <v>133</v>
      </c>
      <c r="G32" t="s">
        <v>133</v>
      </c>
      <c r="H32" t="s">
        <v>133</v>
      </c>
      <c r="K32" t="s">
        <v>251</v>
      </c>
      <c r="M32" t="s">
        <v>137</v>
      </c>
      <c r="O32" t="s">
        <v>161</v>
      </c>
      <c r="P32">
        <v>4101010</v>
      </c>
    </row>
    <row r="33" spans="1:20" x14ac:dyDescent="0.2">
      <c r="A33" t="s">
        <v>252</v>
      </c>
      <c r="B33" t="s">
        <v>253</v>
      </c>
      <c r="C33" t="s">
        <v>254</v>
      </c>
      <c r="D33" t="s">
        <v>61</v>
      </c>
      <c r="E33" t="s">
        <v>255</v>
      </c>
      <c r="F33" t="s">
        <v>133</v>
      </c>
      <c r="G33" t="s">
        <v>133</v>
      </c>
      <c r="H33" t="s">
        <v>133</v>
      </c>
      <c r="K33" t="s">
        <v>256</v>
      </c>
      <c r="M33" t="s">
        <v>137</v>
      </c>
      <c r="O33" t="s">
        <v>161</v>
      </c>
    </row>
    <row r="34" spans="1:20" x14ac:dyDescent="0.2">
      <c r="A34" t="s">
        <v>257</v>
      </c>
      <c r="B34" t="s">
        <v>258</v>
      </c>
      <c r="C34" t="s">
        <v>259</v>
      </c>
      <c r="D34" t="s">
        <v>61</v>
      </c>
      <c r="E34" t="s">
        <v>133</v>
      </c>
      <c r="F34" t="s">
        <v>133</v>
      </c>
      <c r="G34" t="s">
        <v>133</v>
      </c>
      <c r="H34" t="s">
        <v>133</v>
      </c>
      <c r="K34" t="s">
        <v>260</v>
      </c>
      <c r="L34" t="s">
        <v>160</v>
      </c>
      <c r="M34" t="s">
        <v>261</v>
      </c>
      <c r="O34" t="s">
        <v>161</v>
      </c>
    </row>
    <row r="35" spans="1:20" x14ac:dyDescent="0.2">
      <c r="A35" t="s">
        <v>262</v>
      </c>
      <c r="B35" t="s">
        <v>263</v>
      </c>
      <c r="C35" t="s">
        <v>264</v>
      </c>
      <c r="D35" t="s">
        <v>35</v>
      </c>
      <c r="E35" t="s">
        <v>133</v>
      </c>
      <c r="F35" t="s">
        <v>133</v>
      </c>
      <c r="G35" t="s">
        <v>133</v>
      </c>
      <c r="H35" t="s">
        <v>133</v>
      </c>
      <c r="I35" t="s">
        <v>133</v>
      </c>
      <c r="M35" t="s">
        <v>261</v>
      </c>
      <c r="O35" t="s">
        <v>161</v>
      </c>
      <c r="T35" t="s">
        <v>265</v>
      </c>
    </row>
    <row r="36" spans="1:20" x14ac:dyDescent="0.2">
      <c r="A36" t="s">
        <v>266</v>
      </c>
      <c r="B36" t="s">
        <v>267</v>
      </c>
      <c r="C36" t="s">
        <v>268</v>
      </c>
      <c r="D36" t="s">
        <v>61</v>
      </c>
      <c r="E36" t="s">
        <v>133</v>
      </c>
      <c r="F36" t="s">
        <v>133</v>
      </c>
      <c r="G36" t="s">
        <v>133</v>
      </c>
      <c r="H36" t="s">
        <v>133</v>
      </c>
      <c r="K36" t="s">
        <v>269</v>
      </c>
      <c r="M36" t="s">
        <v>137</v>
      </c>
      <c r="O36" t="s">
        <v>161</v>
      </c>
      <c r="P36">
        <v>4101030</v>
      </c>
    </row>
    <row r="37" spans="1:20" x14ac:dyDescent="0.2">
      <c r="A37" t="s">
        <v>270</v>
      </c>
      <c r="B37" t="s">
        <v>271</v>
      </c>
      <c r="C37" t="s">
        <v>272</v>
      </c>
      <c r="D37" t="s">
        <v>61</v>
      </c>
      <c r="E37" t="s">
        <v>255</v>
      </c>
      <c r="F37" t="s">
        <v>133</v>
      </c>
      <c r="G37" t="s">
        <v>133</v>
      </c>
      <c r="H37" t="s">
        <v>133</v>
      </c>
      <c r="K37" t="s">
        <v>273</v>
      </c>
      <c r="M37" t="s">
        <v>137</v>
      </c>
      <c r="O37" t="s">
        <v>161</v>
      </c>
    </row>
    <row r="38" spans="1:20" x14ac:dyDescent="0.2">
      <c r="A38" t="s">
        <v>274</v>
      </c>
      <c r="B38" t="s">
        <v>275</v>
      </c>
      <c r="C38" t="s">
        <v>276</v>
      </c>
      <c r="D38" t="s">
        <v>61</v>
      </c>
      <c r="E38" t="s">
        <v>133</v>
      </c>
      <c r="F38" t="s">
        <v>133</v>
      </c>
      <c r="G38" t="s">
        <v>133</v>
      </c>
      <c r="H38" t="s">
        <v>133</v>
      </c>
      <c r="K38" t="s">
        <v>277</v>
      </c>
      <c r="L38" t="s">
        <v>160</v>
      </c>
      <c r="M38" t="s">
        <v>261</v>
      </c>
      <c r="O38" t="s">
        <v>161</v>
      </c>
    </row>
    <row r="39" spans="1:20" x14ac:dyDescent="0.2">
      <c r="A39" t="s">
        <v>278</v>
      </c>
      <c r="B39" t="s">
        <v>279</v>
      </c>
      <c r="C39" t="s">
        <v>280</v>
      </c>
      <c r="D39" t="s">
        <v>24</v>
      </c>
      <c r="E39" t="s">
        <v>133</v>
      </c>
      <c r="F39" t="s">
        <v>133</v>
      </c>
      <c r="G39" t="s">
        <v>133</v>
      </c>
      <c r="H39" t="s">
        <v>133</v>
      </c>
      <c r="M39" t="s">
        <v>261</v>
      </c>
      <c r="O39" t="s">
        <v>161</v>
      </c>
      <c r="Q39" t="s">
        <v>281</v>
      </c>
      <c r="T39" t="s">
        <v>265</v>
      </c>
    </row>
    <row r="40" spans="1:20" x14ac:dyDescent="0.2">
      <c r="A40" t="s">
        <v>58</v>
      </c>
      <c r="B40" t="s">
        <v>59</v>
      </c>
      <c r="C40" t="s">
        <v>60</v>
      </c>
      <c r="D40" t="s">
        <v>61</v>
      </c>
      <c r="E40" t="s">
        <v>133</v>
      </c>
      <c r="F40" t="s">
        <v>133</v>
      </c>
      <c r="G40" t="s">
        <v>133</v>
      </c>
      <c r="H40" t="s">
        <v>133</v>
      </c>
      <c r="K40" t="s">
        <v>62</v>
      </c>
      <c r="M40" t="s">
        <v>282</v>
      </c>
      <c r="O40" t="s">
        <v>161</v>
      </c>
      <c r="P40">
        <v>4101090</v>
      </c>
    </row>
    <row r="41" spans="1:20" x14ac:dyDescent="0.2">
      <c r="A41" t="s">
        <v>283</v>
      </c>
      <c r="B41" t="s">
        <v>284</v>
      </c>
      <c r="C41" t="s">
        <v>285</v>
      </c>
      <c r="D41" t="s">
        <v>61</v>
      </c>
      <c r="E41" t="s">
        <v>255</v>
      </c>
      <c r="F41" t="s">
        <v>133</v>
      </c>
      <c r="G41" t="s">
        <v>133</v>
      </c>
      <c r="H41" t="s">
        <v>133</v>
      </c>
      <c r="K41" t="s">
        <v>286</v>
      </c>
      <c r="M41" t="s">
        <v>282</v>
      </c>
      <c r="O41" t="s">
        <v>161</v>
      </c>
    </row>
    <row r="42" spans="1:20" x14ac:dyDescent="0.2">
      <c r="A42" t="s">
        <v>287</v>
      </c>
      <c r="B42" t="s">
        <v>288</v>
      </c>
      <c r="C42" t="s">
        <v>289</v>
      </c>
      <c r="D42" t="s">
        <v>61</v>
      </c>
      <c r="E42" t="s">
        <v>133</v>
      </c>
      <c r="F42" t="s">
        <v>133</v>
      </c>
      <c r="G42" t="s">
        <v>133</v>
      </c>
      <c r="H42" t="s">
        <v>133</v>
      </c>
      <c r="K42" t="s">
        <v>290</v>
      </c>
      <c r="L42" t="s">
        <v>160</v>
      </c>
      <c r="M42" t="s">
        <v>291</v>
      </c>
      <c r="O42" t="s">
        <v>161</v>
      </c>
    </row>
    <row r="43" spans="1:20" x14ac:dyDescent="0.2">
      <c r="A43" t="s">
        <v>292</v>
      </c>
      <c r="B43" t="s">
        <v>293</v>
      </c>
      <c r="C43" t="s">
        <v>294</v>
      </c>
      <c r="D43" t="s">
        <v>35</v>
      </c>
      <c r="E43" t="s">
        <v>133</v>
      </c>
      <c r="F43" t="s">
        <v>133</v>
      </c>
      <c r="G43" t="s">
        <v>133</v>
      </c>
      <c r="H43" t="s">
        <v>133</v>
      </c>
      <c r="M43" t="s">
        <v>291</v>
      </c>
      <c r="O43" t="s">
        <v>161</v>
      </c>
      <c r="T43" t="s">
        <v>265</v>
      </c>
    </row>
    <row r="44" spans="1:20" x14ac:dyDescent="0.2">
      <c r="A44" t="s">
        <v>295</v>
      </c>
      <c r="B44" t="s">
        <v>296</v>
      </c>
      <c r="C44" t="s">
        <v>297</v>
      </c>
      <c r="D44" t="s">
        <v>61</v>
      </c>
      <c r="E44" t="s">
        <v>133</v>
      </c>
      <c r="F44" t="s">
        <v>133</v>
      </c>
      <c r="G44" t="s">
        <v>133</v>
      </c>
      <c r="H44" t="s">
        <v>133</v>
      </c>
      <c r="K44" t="s">
        <v>298</v>
      </c>
      <c r="M44" t="s">
        <v>137</v>
      </c>
      <c r="O44" t="s">
        <v>161</v>
      </c>
      <c r="P44">
        <v>410500</v>
      </c>
    </row>
    <row r="45" spans="1:20" x14ac:dyDescent="0.2">
      <c r="A45" t="s">
        <v>299</v>
      </c>
      <c r="B45" t="s">
        <v>300</v>
      </c>
      <c r="C45" t="s">
        <v>301</v>
      </c>
      <c r="D45" t="s">
        <v>61</v>
      </c>
      <c r="E45" t="s">
        <v>255</v>
      </c>
      <c r="F45" t="s">
        <v>133</v>
      </c>
      <c r="G45" t="s">
        <v>133</v>
      </c>
      <c r="H45" t="s">
        <v>133</v>
      </c>
      <c r="K45" t="s">
        <v>302</v>
      </c>
      <c r="M45" t="s">
        <v>137</v>
      </c>
      <c r="O45" t="s">
        <v>161</v>
      </c>
    </row>
    <row r="46" spans="1:20" x14ac:dyDescent="0.2">
      <c r="A46" t="s">
        <v>303</v>
      </c>
      <c r="B46" t="s">
        <v>304</v>
      </c>
      <c r="C46" t="s">
        <v>305</v>
      </c>
      <c r="D46" t="s">
        <v>35</v>
      </c>
      <c r="E46" t="s">
        <v>133</v>
      </c>
      <c r="F46" t="s">
        <v>133</v>
      </c>
      <c r="G46" t="s">
        <v>133</v>
      </c>
      <c r="H46" t="s">
        <v>133</v>
      </c>
      <c r="M46" t="s">
        <v>261</v>
      </c>
      <c r="O46" t="s">
        <v>161</v>
      </c>
      <c r="T46" t="s">
        <v>265</v>
      </c>
    </row>
    <row r="47" spans="1:20" x14ac:dyDescent="0.2">
      <c r="A47" t="s">
        <v>306</v>
      </c>
      <c r="B47" t="s">
        <v>307</v>
      </c>
      <c r="C47" t="s">
        <v>308</v>
      </c>
      <c r="D47" t="s">
        <v>61</v>
      </c>
      <c r="E47" t="s">
        <v>133</v>
      </c>
      <c r="F47" t="s">
        <v>133</v>
      </c>
      <c r="G47" t="s">
        <v>133</v>
      </c>
      <c r="H47" t="s">
        <v>133</v>
      </c>
      <c r="K47" t="s">
        <v>309</v>
      </c>
      <c r="M47" t="s">
        <v>282</v>
      </c>
      <c r="O47" t="s">
        <v>161</v>
      </c>
      <c r="P47" t="s">
        <v>310</v>
      </c>
    </row>
    <row r="48" spans="1:20" x14ac:dyDescent="0.2">
      <c r="A48" t="s">
        <v>311</v>
      </c>
      <c r="B48" t="s">
        <v>312</v>
      </c>
      <c r="C48" t="s">
        <v>313</v>
      </c>
      <c r="D48" t="s">
        <v>61</v>
      </c>
      <c r="E48" t="s">
        <v>133</v>
      </c>
      <c r="F48" t="s">
        <v>133</v>
      </c>
      <c r="G48" t="s">
        <v>133</v>
      </c>
      <c r="H48" t="s">
        <v>133</v>
      </c>
      <c r="K48" t="s">
        <v>314</v>
      </c>
      <c r="M48" t="s">
        <v>282</v>
      </c>
      <c r="O48" t="s">
        <v>161</v>
      </c>
      <c r="P48">
        <v>450100</v>
      </c>
    </row>
    <row r="49" spans="1:20" x14ac:dyDescent="0.2">
      <c r="A49" t="s">
        <v>315</v>
      </c>
      <c r="B49" t="s">
        <v>316</v>
      </c>
      <c r="C49" t="s">
        <v>317</v>
      </c>
      <c r="D49" t="s">
        <v>61</v>
      </c>
      <c r="E49" t="s">
        <v>255</v>
      </c>
      <c r="F49" t="s">
        <v>133</v>
      </c>
      <c r="G49" t="s">
        <v>133</v>
      </c>
      <c r="H49" t="s">
        <v>133</v>
      </c>
      <c r="K49" t="s">
        <v>318</v>
      </c>
      <c r="L49" t="s">
        <v>319</v>
      </c>
      <c r="M49" t="s">
        <v>282</v>
      </c>
      <c r="O49" t="s">
        <v>161</v>
      </c>
    </row>
    <row r="50" spans="1:20" x14ac:dyDescent="0.2">
      <c r="A50" t="s">
        <v>320</v>
      </c>
      <c r="B50" t="s">
        <v>321</v>
      </c>
      <c r="C50" t="s">
        <v>322</v>
      </c>
      <c r="D50" t="s">
        <v>35</v>
      </c>
      <c r="E50" t="s">
        <v>133</v>
      </c>
      <c r="F50" t="s">
        <v>133</v>
      </c>
      <c r="G50" t="s">
        <v>133</v>
      </c>
      <c r="H50" t="s">
        <v>133</v>
      </c>
      <c r="M50" t="s">
        <v>291</v>
      </c>
      <c r="O50" t="s">
        <v>161</v>
      </c>
      <c r="T50" t="s">
        <v>265</v>
      </c>
    </row>
    <row r="51" spans="1:20" x14ac:dyDescent="0.2">
      <c r="A51" t="s">
        <v>323</v>
      </c>
      <c r="B51" t="s">
        <v>324</v>
      </c>
      <c r="C51" t="s">
        <v>325</v>
      </c>
      <c r="D51" t="s">
        <v>35</v>
      </c>
      <c r="E51" t="s">
        <v>133</v>
      </c>
      <c r="F51" t="s">
        <v>133</v>
      </c>
      <c r="H51" t="s">
        <v>133</v>
      </c>
      <c r="M51" t="s">
        <v>291</v>
      </c>
      <c r="O51" t="s">
        <v>161</v>
      </c>
      <c r="T51" t="s">
        <v>265</v>
      </c>
    </row>
    <row r="52" spans="1:20" x14ac:dyDescent="0.2">
      <c r="A52" t="s">
        <v>326</v>
      </c>
      <c r="B52" t="s">
        <v>327</v>
      </c>
      <c r="C52" t="s">
        <v>328</v>
      </c>
      <c r="D52" t="s">
        <v>61</v>
      </c>
      <c r="E52" t="s">
        <v>133</v>
      </c>
      <c r="F52" t="s">
        <v>133</v>
      </c>
      <c r="G52" t="s">
        <v>133</v>
      </c>
      <c r="H52" t="s">
        <v>133</v>
      </c>
      <c r="K52" t="s">
        <v>329</v>
      </c>
      <c r="M52" t="s">
        <v>137</v>
      </c>
      <c r="O52" t="s">
        <v>161</v>
      </c>
      <c r="P52">
        <v>450300</v>
      </c>
    </row>
    <row r="53" spans="1:20" x14ac:dyDescent="0.2">
      <c r="A53" t="s">
        <v>330</v>
      </c>
      <c r="B53" t="s">
        <v>331</v>
      </c>
      <c r="C53" t="s">
        <v>332</v>
      </c>
      <c r="D53" t="s">
        <v>61</v>
      </c>
      <c r="E53" t="s">
        <v>255</v>
      </c>
      <c r="F53" t="s">
        <v>133</v>
      </c>
      <c r="G53" t="s">
        <v>133</v>
      </c>
      <c r="H53" t="s">
        <v>133</v>
      </c>
      <c r="K53" t="s">
        <v>333</v>
      </c>
      <c r="L53" t="s">
        <v>319</v>
      </c>
      <c r="M53" t="s">
        <v>137</v>
      </c>
      <c r="O53" t="s">
        <v>161</v>
      </c>
    </row>
    <row r="54" spans="1:20" x14ac:dyDescent="0.2">
      <c r="A54" t="s">
        <v>334</v>
      </c>
      <c r="B54" t="s">
        <v>335</v>
      </c>
      <c r="C54" t="s">
        <v>336</v>
      </c>
      <c r="D54" t="s">
        <v>35</v>
      </c>
      <c r="E54" t="s">
        <v>133</v>
      </c>
      <c r="F54" t="s">
        <v>133</v>
      </c>
      <c r="G54" t="s">
        <v>133</v>
      </c>
      <c r="H54" t="s">
        <v>133</v>
      </c>
      <c r="M54" t="s">
        <v>261</v>
      </c>
      <c r="O54" t="s">
        <v>161</v>
      </c>
      <c r="T54" t="s">
        <v>265</v>
      </c>
    </row>
    <row r="55" spans="1:20" x14ac:dyDescent="0.2">
      <c r="A55" t="s">
        <v>337</v>
      </c>
      <c r="B55" t="s">
        <v>338</v>
      </c>
      <c r="C55" t="s">
        <v>339</v>
      </c>
      <c r="D55" t="s">
        <v>35</v>
      </c>
      <c r="E55" t="s">
        <v>133</v>
      </c>
      <c r="F55" t="s">
        <v>133</v>
      </c>
      <c r="H55" t="s">
        <v>133</v>
      </c>
      <c r="M55" t="s">
        <v>261</v>
      </c>
      <c r="O55" t="s">
        <v>161</v>
      </c>
      <c r="T55" t="s">
        <v>265</v>
      </c>
    </row>
    <row r="56" spans="1:20" x14ac:dyDescent="0.2">
      <c r="A56" t="s">
        <v>340</v>
      </c>
      <c r="B56" t="s">
        <v>341</v>
      </c>
      <c r="C56" t="s">
        <v>342</v>
      </c>
      <c r="D56" t="s">
        <v>61</v>
      </c>
      <c r="E56" t="s">
        <v>133</v>
      </c>
      <c r="F56" t="s">
        <v>133</v>
      </c>
      <c r="G56" t="s">
        <v>133</v>
      </c>
      <c r="H56" t="s">
        <v>133</v>
      </c>
      <c r="K56" t="s">
        <v>343</v>
      </c>
      <c r="M56" t="s">
        <v>282</v>
      </c>
      <c r="O56" t="s">
        <v>161</v>
      </c>
    </row>
    <row r="57" spans="1:20" x14ac:dyDescent="0.2">
      <c r="A57" t="s">
        <v>344</v>
      </c>
      <c r="B57" t="s">
        <v>345</v>
      </c>
      <c r="C57" t="s">
        <v>346</v>
      </c>
      <c r="D57" t="s">
        <v>61</v>
      </c>
      <c r="E57" t="s">
        <v>255</v>
      </c>
      <c r="F57" t="s">
        <v>133</v>
      </c>
      <c r="G57" t="s">
        <v>133</v>
      </c>
      <c r="H57" t="s">
        <v>133</v>
      </c>
      <c r="K57" t="s">
        <v>347</v>
      </c>
      <c r="L57" t="s">
        <v>319</v>
      </c>
      <c r="M57" t="s">
        <v>282</v>
      </c>
      <c r="O57" t="s">
        <v>161</v>
      </c>
    </row>
    <row r="58" spans="1:20" x14ac:dyDescent="0.2">
      <c r="A58" t="s">
        <v>348</v>
      </c>
      <c r="B58" t="s">
        <v>349</v>
      </c>
      <c r="C58" t="s">
        <v>350</v>
      </c>
      <c r="D58" t="s">
        <v>24</v>
      </c>
      <c r="E58" t="s">
        <v>133</v>
      </c>
      <c r="F58" t="s">
        <v>133</v>
      </c>
      <c r="G58" t="s">
        <v>133</v>
      </c>
      <c r="H58" t="s">
        <v>133</v>
      </c>
      <c r="M58" t="s">
        <v>291</v>
      </c>
      <c r="O58" t="s">
        <v>161</v>
      </c>
      <c r="T58" t="s">
        <v>265</v>
      </c>
    </row>
    <row r="59" spans="1:20" x14ac:dyDescent="0.2">
      <c r="A59" t="s">
        <v>351</v>
      </c>
      <c r="B59" t="s">
        <v>352</v>
      </c>
      <c r="C59" t="s">
        <v>353</v>
      </c>
      <c r="D59" t="s">
        <v>24</v>
      </c>
      <c r="E59" t="s">
        <v>133</v>
      </c>
      <c r="F59" t="s">
        <v>133</v>
      </c>
      <c r="H59" t="s">
        <v>133</v>
      </c>
      <c r="M59" t="s">
        <v>291</v>
      </c>
      <c r="O59" t="s">
        <v>161</v>
      </c>
      <c r="T59" t="s">
        <v>265</v>
      </c>
    </row>
    <row r="60" spans="1:20" x14ac:dyDescent="0.2">
      <c r="A60" t="s">
        <v>354</v>
      </c>
      <c r="B60" t="s">
        <v>355</v>
      </c>
      <c r="C60" t="s">
        <v>356</v>
      </c>
      <c r="D60" t="s">
        <v>61</v>
      </c>
      <c r="E60" t="s">
        <v>133</v>
      </c>
      <c r="F60" t="s">
        <v>133</v>
      </c>
      <c r="G60" t="s">
        <v>133</v>
      </c>
      <c r="H60" t="s">
        <v>133</v>
      </c>
      <c r="K60" t="s">
        <v>357</v>
      </c>
      <c r="L60" t="s">
        <v>319</v>
      </c>
      <c r="M60" t="s">
        <v>282</v>
      </c>
      <c r="O60" t="s">
        <v>161</v>
      </c>
      <c r="P60">
        <v>450200</v>
      </c>
    </row>
    <row r="61" spans="1:20" x14ac:dyDescent="0.2">
      <c r="A61" t="s">
        <v>358</v>
      </c>
      <c r="B61" t="s">
        <v>359</v>
      </c>
      <c r="C61" t="s">
        <v>360</v>
      </c>
      <c r="D61" t="s">
        <v>61</v>
      </c>
      <c r="E61" t="s">
        <v>133</v>
      </c>
      <c r="F61" t="s">
        <v>133</v>
      </c>
      <c r="G61" t="s">
        <v>133</v>
      </c>
      <c r="H61" t="s">
        <v>133</v>
      </c>
      <c r="K61" t="s">
        <v>361</v>
      </c>
      <c r="L61" t="s">
        <v>319</v>
      </c>
      <c r="M61" t="s">
        <v>282</v>
      </c>
      <c r="O61" t="s">
        <v>161</v>
      </c>
      <c r="P61" t="s">
        <v>362</v>
      </c>
    </row>
    <row r="62" spans="1:20" x14ac:dyDescent="0.2">
      <c r="A62" t="s">
        <v>363</v>
      </c>
      <c r="B62" t="s">
        <v>364</v>
      </c>
      <c r="C62" t="s">
        <v>365</v>
      </c>
      <c r="D62" t="s">
        <v>61</v>
      </c>
      <c r="E62" t="s">
        <v>133</v>
      </c>
      <c r="F62" t="s">
        <v>133</v>
      </c>
      <c r="G62" t="s">
        <v>133</v>
      </c>
      <c r="H62" t="s">
        <v>133</v>
      </c>
      <c r="K62" t="s">
        <v>366</v>
      </c>
      <c r="M62" t="s">
        <v>282</v>
      </c>
      <c r="O62" t="s">
        <v>161</v>
      </c>
      <c r="P62" t="s">
        <v>367</v>
      </c>
    </row>
    <row r="63" spans="1:20" x14ac:dyDescent="0.2">
      <c r="A63" t="s">
        <v>368</v>
      </c>
      <c r="B63" t="s">
        <v>369</v>
      </c>
      <c r="C63" t="s">
        <v>370</v>
      </c>
      <c r="D63" t="s">
        <v>61</v>
      </c>
      <c r="E63" t="s">
        <v>255</v>
      </c>
      <c r="F63" t="s">
        <v>133</v>
      </c>
      <c r="G63" t="s">
        <v>133</v>
      </c>
      <c r="H63" t="s">
        <v>133</v>
      </c>
      <c r="K63" t="s">
        <v>371</v>
      </c>
      <c r="L63" t="s">
        <v>319</v>
      </c>
      <c r="M63" t="s">
        <v>282</v>
      </c>
      <c r="O63" t="s">
        <v>161</v>
      </c>
    </row>
    <row r="64" spans="1:20" x14ac:dyDescent="0.2">
      <c r="A64" t="s">
        <v>372</v>
      </c>
      <c r="B64" t="s">
        <v>373</v>
      </c>
      <c r="C64" t="s">
        <v>374</v>
      </c>
      <c r="D64" t="s">
        <v>24</v>
      </c>
      <c r="E64" t="s">
        <v>133</v>
      </c>
      <c r="F64" t="s">
        <v>133</v>
      </c>
      <c r="G64" t="s">
        <v>133</v>
      </c>
      <c r="H64" t="s">
        <v>133</v>
      </c>
      <c r="M64" t="s">
        <v>291</v>
      </c>
      <c r="O64" t="s">
        <v>161</v>
      </c>
      <c r="T64" t="s">
        <v>265</v>
      </c>
    </row>
    <row r="65" spans="1:20" x14ac:dyDescent="0.2">
      <c r="A65" t="s">
        <v>375</v>
      </c>
      <c r="B65" t="s">
        <v>376</v>
      </c>
      <c r="C65" t="s">
        <v>377</v>
      </c>
      <c r="D65" t="s">
        <v>24</v>
      </c>
      <c r="E65" t="s">
        <v>133</v>
      </c>
      <c r="F65" t="s">
        <v>133</v>
      </c>
      <c r="H65" t="s">
        <v>133</v>
      </c>
      <c r="M65" t="s">
        <v>291</v>
      </c>
      <c r="O65" t="s">
        <v>161</v>
      </c>
      <c r="T65" t="s">
        <v>265</v>
      </c>
    </row>
    <row r="66" spans="1:20" x14ac:dyDescent="0.2">
      <c r="A66" t="s">
        <v>378</v>
      </c>
      <c r="B66" t="s">
        <v>379</v>
      </c>
      <c r="C66" t="s">
        <v>380</v>
      </c>
      <c r="D66" t="s">
        <v>61</v>
      </c>
      <c r="E66" t="s">
        <v>133</v>
      </c>
      <c r="F66" t="s">
        <v>133</v>
      </c>
      <c r="G66" t="s">
        <v>133</v>
      </c>
      <c r="H66" t="s">
        <v>133</v>
      </c>
      <c r="I66" t="s">
        <v>133</v>
      </c>
      <c r="K66" t="s">
        <v>381</v>
      </c>
      <c r="L66" t="s">
        <v>135</v>
      </c>
      <c r="M66" t="s">
        <v>282</v>
      </c>
      <c r="N66">
        <v>4</v>
      </c>
      <c r="O66" t="s">
        <v>161</v>
      </c>
      <c r="P66" t="s">
        <v>382</v>
      </c>
    </row>
    <row r="67" spans="1:20" x14ac:dyDescent="0.2">
      <c r="A67" t="s">
        <v>383</v>
      </c>
      <c r="B67" t="s">
        <v>384</v>
      </c>
      <c r="C67" t="s">
        <v>385</v>
      </c>
      <c r="D67" t="s">
        <v>14</v>
      </c>
      <c r="E67" t="s">
        <v>133</v>
      </c>
      <c r="F67" t="s">
        <v>133</v>
      </c>
      <c r="G67" t="s">
        <v>133</v>
      </c>
      <c r="H67" t="s">
        <v>133</v>
      </c>
      <c r="I67" t="s">
        <v>133</v>
      </c>
      <c r="K67" t="s">
        <v>386</v>
      </c>
      <c r="O67" t="s">
        <v>161</v>
      </c>
    </row>
    <row r="68" spans="1:20" x14ac:dyDescent="0.2">
      <c r="A68" t="s">
        <v>387</v>
      </c>
      <c r="B68" t="s">
        <v>388</v>
      </c>
      <c r="C68" t="s">
        <v>389</v>
      </c>
      <c r="D68" t="s">
        <v>61</v>
      </c>
      <c r="E68" t="s">
        <v>133</v>
      </c>
      <c r="F68" t="s">
        <v>133</v>
      </c>
      <c r="G68" t="s">
        <v>133</v>
      </c>
      <c r="H68" t="s">
        <v>133</v>
      </c>
      <c r="I68" t="s">
        <v>133</v>
      </c>
      <c r="K68" t="s">
        <v>390</v>
      </c>
      <c r="M68" t="s">
        <v>282</v>
      </c>
      <c r="O68" t="s">
        <v>161</v>
      </c>
    </row>
    <row r="69" spans="1:20" x14ac:dyDescent="0.2">
      <c r="A69" t="s">
        <v>391</v>
      </c>
      <c r="B69" t="s">
        <v>392</v>
      </c>
      <c r="C69" t="s">
        <v>393</v>
      </c>
      <c r="D69" t="s">
        <v>61</v>
      </c>
      <c r="E69" t="s">
        <v>133</v>
      </c>
      <c r="F69" t="s">
        <v>133</v>
      </c>
      <c r="G69" t="s">
        <v>133</v>
      </c>
      <c r="H69" t="s">
        <v>133</v>
      </c>
      <c r="I69" t="s">
        <v>133</v>
      </c>
      <c r="K69" t="s">
        <v>394</v>
      </c>
      <c r="M69" t="s">
        <v>282</v>
      </c>
      <c r="O69" t="s">
        <v>161</v>
      </c>
    </row>
    <row r="70" spans="1:20" x14ac:dyDescent="0.2">
      <c r="A70" t="s">
        <v>395</v>
      </c>
      <c r="B70" t="s">
        <v>396</v>
      </c>
      <c r="C70" t="s">
        <v>397</v>
      </c>
      <c r="D70" t="s">
        <v>61</v>
      </c>
      <c r="E70" t="s">
        <v>133</v>
      </c>
      <c r="F70" t="s">
        <v>133</v>
      </c>
      <c r="G70" t="s">
        <v>133</v>
      </c>
      <c r="H70" t="s">
        <v>133</v>
      </c>
      <c r="I70" t="s">
        <v>133</v>
      </c>
      <c r="K70" t="s">
        <v>398</v>
      </c>
      <c r="M70" t="s">
        <v>282</v>
      </c>
      <c r="O70" t="s">
        <v>161</v>
      </c>
    </row>
    <row r="71" spans="1:20" x14ac:dyDescent="0.2">
      <c r="A71" t="s">
        <v>399</v>
      </c>
      <c r="B71" t="s">
        <v>400</v>
      </c>
      <c r="C71" t="s">
        <v>401</v>
      </c>
      <c r="D71" t="s">
        <v>61</v>
      </c>
      <c r="E71" t="s">
        <v>133</v>
      </c>
      <c r="F71" t="s">
        <v>133</v>
      </c>
      <c r="G71" t="s">
        <v>133</v>
      </c>
      <c r="H71" t="s">
        <v>133</v>
      </c>
      <c r="I71" t="s">
        <v>133</v>
      </c>
      <c r="K71" t="s">
        <v>402</v>
      </c>
      <c r="M71" t="s">
        <v>282</v>
      </c>
      <c r="O71" t="s">
        <v>161</v>
      </c>
    </row>
    <row r="72" spans="1:20" x14ac:dyDescent="0.2">
      <c r="A72" t="s">
        <v>403</v>
      </c>
      <c r="B72" t="s">
        <v>404</v>
      </c>
      <c r="C72" t="s">
        <v>405</v>
      </c>
      <c r="D72" t="s">
        <v>61</v>
      </c>
      <c r="E72" t="s">
        <v>133</v>
      </c>
      <c r="F72" t="s">
        <v>133</v>
      </c>
      <c r="G72" t="s">
        <v>133</v>
      </c>
      <c r="H72" t="s">
        <v>133</v>
      </c>
      <c r="I72" t="s">
        <v>133</v>
      </c>
      <c r="K72" t="s">
        <v>406</v>
      </c>
      <c r="M72" t="s">
        <v>282</v>
      </c>
      <c r="O72" t="s">
        <v>161</v>
      </c>
    </row>
    <row r="73" spans="1:20" x14ac:dyDescent="0.2">
      <c r="A73" t="s">
        <v>407</v>
      </c>
      <c r="B73" t="s">
        <v>408</v>
      </c>
      <c r="C73" t="s">
        <v>409</v>
      </c>
      <c r="D73" t="s">
        <v>61</v>
      </c>
      <c r="E73" t="s">
        <v>133</v>
      </c>
      <c r="F73" t="s">
        <v>133</v>
      </c>
      <c r="G73" t="s">
        <v>133</v>
      </c>
      <c r="H73" t="s">
        <v>133</v>
      </c>
      <c r="I73" t="s">
        <v>133</v>
      </c>
      <c r="K73" t="s">
        <v>410</v>
      </c>
      <c r="O73" t="s">
        <v>161</v>
      </c>
    </row>
    <row r="74" spans="1:20" x14ac:dyDescent="0.2">
      <c r="A74" t="s">
        <v>411</v>
      </c>
      <c r="B74" t="s">
        <v>412</v>
      </c>
      <c r="C74" t="s">
        <v>413</v>
      </c>
      <c r="D74" t="s">
        <v>14</v>
      </c>
      <c r="E74" t="s">
        <v>133</v>
      </c>
      <c r="F74" t="s">
        <v>133</v>
      </c>
      <c r="G74" t="s">
        <v>133</v>
      </c>
      <c r="H74" t="s">
        <v>133</v>
      </c>
      <c r="I74" t="s">
        <v>133</v>
      </c>
      <c r="K74" t="s">
        <v>414</v>
      </c>
      <c r="O74" t="s">
        <v>161</v>
      </c>
    </row>
    <row r="75" spans="1:20" x14ac:dyDescent="0.2">
      <c r="A75" t="s">
        <v>415</v>
      </c>
      <c r="B75" t="s">
        <v>416</v>
      </c>
      <c r="C75" t="s">
        <v>417</v>
      </c>
      <c r="D75" t="s">
        <v>61</v>
      </c>
      <c r="E75" t="s">
        <v>133</v>
      </c>
      <c r="F75" t="s">
        <v>133</v>
      </c>
      <c r="G75" t="s">
        <v>133</v>
      </c>
      <c r="H75" t="s">
        <v>133</v>
      </c>
      <c r="I75" t="s">
        <v>133</v>
      </c>
      <c r="K75" t="s">
        <v>418</v>
      </c>
      <c r="M75" t="s">
        <v>282</v>
      </c>
      <c r="O75" t="s">
        <v>161</v>
      </c>
    </row>
    <row r="76" spans="1:20" x14ac:dyDescent="0.2">
      <c r="A76" t="s">
        <v>419</v>
      </c>
      <c r="B76" t="s">
        <v>420</v>
      </c>
      <c r="C76" t="s">
        <v>421</v>
      </c>
      <c r="D76" t="s">
        <v>61</v>
      </c>
      <c r="E76" t="s">
        <v>133</v>
      </c>
      <c r="F76" t="s">
        <v>133</v>
      </c>
      <c r="G76" t="s">
        <v>133</v>
      </c>
      <c r="H76" t="s">
        <v>133</v>
      </c>
      <c r="I76" t="s">
        <v>133</v>
      </c>
      <c r="K76" t="s">
        <v>422</v>
      </c>
      <c r="M76" t="s">
        <v>282</v>
      </c>
      <c r="O76" t="s">
        <v>161</v>
      </c>
    </row>
    <row r="77" spans="1:20" x14ac:dyDescent="0.2">
      <c r="A77" t="s">
        <v>423</v>
      </c>
      <c r="B77" t="s">
        <v>424</v>
      </c>
      <c r="C77" t="s">
        <v>425</v>
      </c>
      <c r="D77" t="s">
        <v>61</v>
      </c>
      <c r="E77" t="s">
        <v>133</v>
      </c>
      <c r="F77" t="s">
        <v>133</v>
      </c>
      <c r="G77" t="s">
        <v>133</v>
      </c>
      <c r="H77" t="s">
        <v>133</v>
      </c>
      <c r="I77" t="s">
        <v>133</v>
      </c>
      <c r="K77" t="s">
        <v>426</v>
      </c>
      <c r="M77" t="s">
        <v>282</v>
      </c>
      <c r="O77" t="s">
        <v>161</v>
      </c>
    </row>
    <row r="78" spans="1:20" x14ac:dyDescent="0.2">
      <c r="A78" t="s">
        <v>427</v>
      </c>
      <c r="B78" t="s">
        <v>428</v>
      </c>
      <c r="C78" t="s">
        <v>429</v>
      </c>
      <c r="D78" t="s">
        <v>61</v>
      </c>
      <c r="E78" t="s">
        <v>133</v>
      </c>
      <c r="F78" t="s">
        <v>133</v>
      </c>
      <c r="G78" t="s">
        <v>133</v>
      </c>
      <c r="H78" t="s">
        <v>133</v>
      </c>
      <c r="I78" t="s">
        <v>133</v>
      </c>
      <c r="K78" t="s">
        <v>430</v>
      </c>
      <c r="M78" t="s">
        <v>282</v>
      </c>
      <c r="O78" t="s">
        <v>161</v>
      </c>
    </row>
    <row r="79" spans="1:20" x14ac:dyDescent="0.2">
      <c r="A79" t="s">
        <v>431</v>
      </c>
      <c r="B79" t="s">
        <v>432</v>
      </c>
      <c r="C79" t="s">
        <v>433</v>
      </c>
      <c r="D79" t="s">
        <v>61</v>
      </c>
      <c r="E79" t="s">
        <v>133</v>
      </c>
      <c r="F79" t="s">
        <v>133</v>
      </c>
      <c r="G79" t="s">
        <v>133</v>
      </c>
      <c r="H79" t="s">
        <v>133</v>
      </c>
      <c r="I79" t="s">
        <v>133</v>
      </c>
      <c r="K79" t="s">
        <v>434</v>
      </c>
      <c r="M79" t="s">
        <v>282</v>
      </c>
      <c r="O79" t="s">
        <v>161</v>
      </c>
    </row>
    <row r="80" spans="1:20" x14ac:dyDescent="0.2">
      <c r="A80" t="s">
        <v>435</v>
      </c>
      <c r="B80" t="s">
        <v>436</v>
      </c>
      <c r="C80" t="s">
        <v>437</v>
      </c>
      <c r="D80" t="s">
        <v>61</v>
      </c>
      <c r="E80" t="s">
        <v>133</v>
      </c>
      <c r="F80" t="s">
        <v>133</v>
      </c>
      <c r="G80" t="s">
        <v>133</v>
      </c>
      <c r="H80" t="s">
        <v>133</v>
      </c>
      <c r="I80" t="s">
        <v>133</v>
      </c>
      <c r="K80" t="s">
        <v>438</v>
      </c>
      <c r="M80" t="s">
        <v>282</v>
      </c>
      <c r="O80" t="s">
        <v>161</v>
      </c>
    </row>
    <row r="81" spans="1:20" x14ac:dyDescent="0.2">
      <c r="A81" t="s">
        <v>439</v>
      </c>
      <c r="B81" t="s">
        <v>440</v>
      </c>
      <c r="C81" t="s">
        <v>441</v>
      </c>
      <c r="D81" t="s">
        <v>61</v>
      </c>
      <c r="E81" t="s">
        <v>133</v>
      </c>
      <c r="F81" t="s">
        <v>133</v>
      </c>
      <c r="G81" t="s">
        <v>133</v>
      </c>
      <c r="H81" t="s">
        <v>133</v>
      </c>
      <c r="I81" t="s">
        <v>133</v>
      </c>
      <c r="K81" t="s">
        <v>442</v>
      </c>
      <c r="M81" t="s">
        <v>282</v>
      </c>
      <c r="O81" t="s">
        <v>161</v>
      </c>
    </row>
    <row r="82" spans="1:20" x14ac:dyDescent="0.2">
      <c r="A82" t="s">
        <v>443</v>
      </c>
      <c r="B82" t="s">
        <v>444</v>
      </c>
      <c r="C82" t="s">
        <v>445</v>
      </c>
      <c r="D82" t="s">
        <v>61</v>
      </c>
      <c r="E82" t="s">
        <v>133</v>
      </c>
      <c r="F82" t="s">
        <v>133</v>
      </c>
      <c r="G82" t="s">
        <v>133</v>
      </c>
      <c r="H82" t="s">
        <v>133</v>
      </c>
      <c r="I82" t="s">
        <v>133</v>
      </c>
      <c r="K82" t="s">
        <v>446</v>
      </c>
      <c r="M82" t="s">
        <v>282</v>
      </c>
      <c r="O82" t="s">
        <v>161</v>
      </c>
    </row>
    <row r="83" spans="1:20" x14ac:dyDescent="0.2">
      <c r="A83" t="s">
        <v>447</v>
      </c>
      <c r="B83" t="s">
        <v>448</v>
      </c>
      <c r="C83" t="s">
        <v>449</v>
      </c>
      <c r="D83" t="s">
        <v>61</v>
      </c>
      <c r="E83" t="s">
        <v>133</v>
      </c>
      <c r="F83" t="s">
        <v>133</v>
      </c>
      <c r="G83" t="s">
        <v>133</v>
      </c>
      <c r="H83" t="s">
        <v>133</v>
      </c>
      <c r="I83" t="s">
        <v>133</v>
      </c>
      <c r="K83" t="s">
        <v>450</v>
      </c>
      <c r="O83" t="s">
        <v>161</v>
      </c>
    </row>
    <row r="84" spans="1:20" x14ac:dyDescent="0.2">
      <c r="A84" t="s">
        <v>451</v>
      </c>
      <c r="B84" t="s">
        <v>452</v>
      </c>
      <c r="C84" t="s">
        <v>453</v>
      </c>
      <c r="D84" t="s">
        <v>61</v>
      </c>
      <c r="E84" t="s">
        <v>133</v>
      </c>
      <c r="F84" t="s">
        <v>133</v>
      </c>
      <c r="G84" t="s">
        <v>133</v>
      </c>
      <c r="H84" t="s">
        <v>133</v>
      </c>
      <c r="I84" t="s">
        <v>133</v>
      </c>
      <c r="K84" t="s">
        <v>454</v>
      </c>
      <c r="M84" t="s">
        <v>282</v>
      </c>
      <c r="O84" t="s">
        <v>161</v>
      </c>
    </row>
    <row r="85" spans="1:20" x14ac:dyDescent="0.2">
      <c r="A85" t="s">
        <v>455</v>
      </c>
      <c r="B85" t="s">
        <v>456</v>
      </c>
      <c r="C85" t="s">
        <v>457</v>
      </c>
      <c r="D85" t="s">
        <v>61</v>
      </c>
      <c r="E85" t="s">
        <v>133</v>
      </c>
      <c r="F85" t="s">
        <v>133</v>
      </c>
      <c r="G85" t="s">
        <v>133</v>
      </c>
      <c r="H85" t="s">
        <v>133</v>
      </c>
      <c r="I85" t="s">
        <v>133</v>
      </c>
      <c r="K85" t="s">
        <v>458</v>
      </c>
      <c r="M85" t="s">
        <v>282</v>
      </c>
      <c r="O85" t="s">
        <v>161</v>
      </c>
    </row>
    <row r="86" spans="1:20" x14ac:dyDescent="0.2">
      <c r="A86" t="s">
        <v>459</v>
      </c>
      <c r="B86" t="s">
        <v>460</v>
      </c>
      <c r="C86" t="s">
        <v>461</v>
      </c>
      <c r="D86" t="s">
        <v>14</v>
      </c>
      <c r="E86" t="s">
        <v>133</v>
      </c>
      <c r="F86" t="s">
        <v>133</v>
      </c>
      <c r="G86" t="s">
        <v>133</v>
      </c>
      <c r="H86" t="s">
        <v>133</v>
      </c>
      <c r="I86" t="s">
        <v>133</v>
      </c>
      <c r="K86" t="s">
        <v>462</v>
      </c>
      <c r="M86" t="s">
        <v>282</v>
      </c>
      <c r="O86" t="s">
        <v>161</v>
      </c>
    </row>
    <row r="87" spans="1:20" x14ac:dyDescent="0.2">
      <c r="A87" t="s">
        <v>463</v>
      </c>
      <c r="B87" t="s">
        <v>464</v>
      </c>
      <c r="C87" t="s">
        <v>465</v>
      </c>
      <c r="D87" t="s">
        <v>61</v>
      </c>
      <c r="E87" t="s">
        <v>133</v>
      </c>
      <c r="F87" t="s">
        <v>133</v>
      </c>
      <c r="G87" t="s">
        <v>133</v>
      </c>
      <c r="H87" t="s">
        <v>133</v>
      </c>
      <c r="I87" t="s">
        <v>133</v>
      </c>
      <c r="K87" t="s">
        <v>466</v>
      </c>
      <c r="M87" t="s">
        <v>282</v>
      </c>
      <c r="O87" t="s">
        <v>161</v>
      </c>
    </row>
    <row r="88" spans="1:20" x14ac:dyDescent="0.2">
      <c r="A88" t="s">
        <v>467</v>
      </c>
      <c r="B88" t="s">
        <v>468</v>
      </c>
      <c r="C88" t="s">
        <v>469</v>
      </c>
      <c r="D88" t="s">
        <v>61</v>
      </c>
      <c r="E88" t="s">
        <v>133</v>
      </c>
      <c r="F88" t="s">
        <v>133</v>
      </c>
      <c r="G88" t="s">
        <v>133</v>
      </c>
      <c r="H88" t="s">
        <v>133</v>
      </c>
      <c r="I88" t="s">
        <v>133</v>
      </c>
      <c r="K88" t="s">
        <v>470</v>
      </c>
      <c r="M88" t="s">
        <v>282</v>
      </c>
      <c r="O88" t="s">
        <v>161</v>
      </c>
    </row>
    <row r="89" spans="1:20" x14ac:dyDescent="0.2">
      <c r="A89" t="s">
        <v>471</v>
      </c>
      <c r="B89" t="s">
        <v>472</v>
      </c>
      <c r="C89" t="s">
        <v>473</v>
      </c>
      <c r="D89" t="s">
        <v>61</v>
      </c>
      <c r="E89" t="s">
        <v>133</v>
      </c>
      <c r="F89" t="s">
        <v>133</v>
      </c>
      <c r="G89" t="s">
        <v>133</v>
      </c>
      <c r="H89" t="s">
        <v>133</v>
      </c>
      <c r="I89" t="s">
        <v>133</v>
      </c>
      <c r="K89" t="s">
        <v>474</v>
      </c>
      <c r="M89" t="s">
        <v>282</v>
      </c>
      <c r="O89" t="s">
        <v>161</v>
      </c>
    </row>
    <row r="90" spans="1:20" x14ac:dyDescent="0.2">
      <c r="A90" t="s">
        <v>475</v>
      </c>
      <c r="B90" t="s">
        <v>476</v>
      </c>
      <c r="C90" t="s">
        <v>477</v>
      </c>
      <c r="D90" t="s">
        <v>61</v>
      </c>
      <c r="E90" t="s">
        <v>133</v>
      </c>
      <c r="F90" t="s">
        <v>133</v>
      </c>
      <c r="G90" t="s">
        <v>133</v>
      </c>
      <c r="H90" t="s">
        <v>133</v>
      </c>
      <c r="I90" t="s">
        <v>133</v>
      </c>
      <c r="K90" t="s">
        <v>478</v>
      </c>
      <c r="M90" t="s">
        <v>282</v>
      </c>
      <c r="O90" t="s">
        <v>161</v>
      </c>
    </row>
    <row r="91" spans="1:20" x14ac:dyDescent="0.2">
      <c r="A91" t="s">
        <v>479</v>
      </c>
      <c r="B91" t="s">
        <v>480</v>
      </c>
      <c r="C91" t="s">
        <v>481</v>
      </c>
      <c r="D91" t="s">
        <v>61</v>
      </c>
      <c r="E91" t="s">
        <v>133</v>
      </c>
      <c r="F91" t="s">
        <v>133</v>
      </c>
      <c r="G91" t="s">
        <v>133</v>
      </c>
      <c r="H91" t="s">
        <v>133</v>
      </c>
      <c r="I91" t="s">
        <v>133</v>
      </c>
      <c r="K91" t="s">
        <v>482</v>
      </c>
      <c r="M91" t="s">
        <v>282</v>
      </c>
      <c r="O91" t="s">
        <v>161</v>
      </c>
    </row>
    <row r="92" spans="1:20" x14ac:dyDescent="0.2">
      <c r="A92" t="s">
        <v>483</v>
      </c>
      <c r="B92" t="s">
        <v>484</v>
      </c>
      <c r="C92" t="s">
        <v>485</v>
      </c>
      <c r="D92" t="s">
        <v>61</v>
      </c>
      <c r="E92" t="s">
        <v>133</v>
      </c>
      <c r="F92" t="s">
        <v>133</v>
      </c>
      <c r="G92" t="s">
        <v>133</v>
      </c>
      <c r="H92" t="s">
        <v>133</v>
      </c>
      <c r="I92" t="s">
        <v>133</v>
      </c>
      <c r="K92" t="s">
        <v>486</v>
      </c>
      <c r="M92" t="s">
        <v>137</v>
      </c>
      <c r="N92">
        <v>5</v>
      </c>
      <c r="O92" t="s">
        <v>161</v>
      </c>
      <c r="T92" t="s">
        <v>487</v>
      </c>
    </row>
    <row r="93" spans="1:20" x14ac:dyDescent="0.2">
      <c r="A93" t="s">
        <v>488</v>
      </c>
      <c r="B93" t="s">
        <v>489</v>
      </c>
      <c r="C93" t="s">
        <v>490</v>
      </c>
      <c r="D93" t="s">
        <v>61</v>
      </c>
      <c r="E93" t="s">
        <v>133</v>
      </c>
      <c r="F93" t="s">
        <v>491</v>
      </c>
      <c r="K93" t="s">
        <v>492</v>
      </c>
      <c r="L93" t="s">
        <v>135</v>
      </c>
      <c r="M93" t="s">
        <v>137</v>
      </c>
      <c r="O93" t="s">
        <v>150</v>
      </c>
    </row>
    <row r="94" spans="1:20" x14ac:dyDescent="0.2">
      <c r="A94" t="s">
        <v>493</v>
      </c>
      <c r="B94" t="s">
        <v>494</v>
      </c>
      <c r="C94" t="s">
        <v>495</v>
      </c>
      <c r="D94" t="s">
        <v>61</v>
      </c>
      <c r="E94" t="s">
        <v>133</v>
      </c>
      <c r="F94" t="s">
        <v>491</v>
      </c>
      <c r="G94" t="s">
        <v>496</v>
      </c>
      <c r="K94" t="s">
        <v>497</v>
      </c>
      <c r="L94" t="s">
        <v>160</v>
      </c>
      <c r="O94" t="s">
        <v>161</v>
      </c>
    </row>
    <row r="95" spans="1:20" x14ac:dyDescent="0.2">
      <c r="A95" t="s">
        <v>498</v>
      </c>
      <c r="B95" t="s">
        <v>499</v>
      </c>
      <c r="C95" t="s">
        <v>500</v>
      </c>
      <c r="D95" t="s">
        <v>61</v>
      </c>
      <c r="E95" t="s">
        <v>133</v>
      </c>
      <c r="F95" t="s">
        <v>491</v>
      </c>
      <c r="G95" t="s">
        <v>496</v>
      </c>
      <c r="H95" t="s">
        <v>133</v>
      </c>
      <c r="K95" t="s">
        <v>260</v>
      </c>
      <c r="L95" t="s">
        <v>160</v>
      </c>
      <c r="O95" t="s">
        <v>161</v>
      </c>
    </row>
    <row r="96" spans="1:20" x14ac:dyDescent="0.2">
      <c r="A96" t="s">
        <v>501</v>
      </c>
      <c r="B96" t="s">
        <v>502</v>
      </c>
      <c r="C96" t="s">
        <v>503</v>
      </c>
      <c r="D96" t="s">
        <v>61</v>
      </c>
      <c r="E96" t="s">
        <v>133</v>
      </c>
      <c r="F96" t="s">
        <v>133</v>
      </c>
      <c r="G96" t="s">
        <v>133</v>
      </c>
      <c r="K96" t="s">
        <v>504</v>
      </c>
    </row>
    <row r="97" spans="1:20" x14ac:dyDescent="0.2">
      <c r="A97" t="s">
        <v>252</v>
      </c>
      <c r="B97" t="s">
        <v>253</v>
      </c>
      <c r="C97" t="s">
        <v>254</v>
      </c>
      <c r="D97" t="s">
        <v>35</v>
      </c>
      <c r="E97" t="s">
        <v>505</v>
      </c>
      <c r="F97" t="s">
        <v>133</v>
      </c>
      <c r="G97" t="s">
        <v>133</v>
      </c>
      <c r="H97" t="s">
        <v>133</v>
      </c>
      <c r="M97" t="s">
        <v>137</v>
      </c>
      <c r="O97" t="s">
        <v>161</v>
      </c>
      <c r="S97" t="s">
        <v>506</v>
      </c>
      <c r="T97" t="s">
        <v>265</v>
      </c>
    </row>
    <row r="98" spans="1:20" x14ac:dyDescent="0.2">
      <c r="A98" t="s">
        <v>507</v>
      </c>
      <c r="B98" t="s">
        <v>508</v>
      </c>
      <c r="C98" t="s">
        <v>509</v>
      </c>
      <c r="D98" t="s">
        <v>35</v>
      </c>
      <c r="E98" t="s">
        <v>505</v>
      </c>
      <c r="F98" t="s">
        <v>510</v>
      </c>
      <c r="G98" t="s">
        <v>496</v>
      </c>
      <c r="H98" t="s">
        <v>133</v>
      </c>
      <c r="O98" t="s">
        <v>511</v>
      </c>
      <c r="Q98" t="s">
        <v>512</v>
      </c>
      <c r="S98" t="s">
        <v>506</v>
      </c>
      <c r="T98" t="s">
        <v>265</v>
      </c>
    </row>
    <row r="99" spans="1:20" x14ac:dyDescent="0.2">
      <c r="A99" t="s">
        <v>507</v>
      </c>
      <c r="B99" t="s">
        <v>508</v>
      </c>
      <c r="C99" t="s">
        <v>509</v>
      </c>
      <c r="D99" t="s">
        <v>61</v>
      </c>
      <c r="E99" t="s">
        <v>255</v>
      </c>
      <c r="F99" t="s">
        <v>510</v>
      </c>
      <c r="G99" t="s">
        <v>496</v>
      </c>
      <c r="H99" t="s">
        <v>133</v>
      </c>
      <c r="K99" t="s">
        <v>513</v>
      </c>
      <c r="O99" t="s">
        <v>511</v>
      </c>
      <c r="Q99" t="s">
        <v>512</v>
      </c>
    </row>
    <row r="100" spans="1:20" x14ac:dyDescent="0.2">
      <c r="A100" t="s">
        <v>514</v>
      </c>
      <c r="B100" t="s">
        <v>515</v>
      </c>
      <c r="C100" t="s">
        <v>516</v>
      </c>
      <c r="D100" t="s">
        <v>61</v>
      </c>
      <c r="E100" t="s">
        <v>133</v>
      </c>
      <c r="F100" t="s">
        <v>510</v>
      </c>
      <c r="G100" t="s">
        <v>133</v>
      </c>
      <c r="K100" t="s">
        <v>517</v>
      </c>
      <c r="M100" t="s">
        <v>137</v>
      </c>
      <c r="O100" t="s">
        <v>161</v>
      </c>
    </row>
    <row r="101" spans="1:20" x14ac:dyDescent="0.2">
      <c r="A101" t="s">
        <v>518</v>
      </c>
      <c r="B101" t="s">
        <v>519</v>
      </c>
      <c r="C101" t="s">
        <v>520</v>
      </c>
      <c r="D101" t="s">
        <v>35</v>
      </c>
      <c r="E101" t="s">
        <v>133</v>
      </c>
      <c r="F101" t="s">
        <v>510</v>
      </c>
      <c r="G101" t="s">
        <v>220</v>
      </c>
      <c r="M101" t="s">
        <v>137</v>
      </c>
      <c r="O101" t="s">
        <v>161</v>
      </c>
      <c r="S101" t="s">
        <v>506</v>
      </c>
      <c r="T101" t="s">
        <v>265</v>
      </c>
    </row>
    <row r="102" spans="1:20" x14ac:dyDescent="0.2">
      <c r="A102" t="s">
        <v>521</v>
      </c>
      <c r="B102" t="s">
        <v>522</v>
      </c>
      <c r="C102" t="s">
        <v>523</v>
      </c>
      <c r="D102" t="s">
        <v>35</v>
      </c>
      <c r="E102" t="s">
        <v>133</v>
      </c>
      <c r="F102" t="s">
        <v>510</v>
      </c>
      <c r="G102" t="s">
        <v>496</v>
      </c>
      <c r="M102" t="s">
        <v>137</v>
      </c>
      <c r="O102" t="s">
        <v>161</v>
      </c>
      <c r="S102" t="s">
        <v>506</v>
      </c>
      <c r="T102" t="s">
        <v>265</v>
      </c>
    </row>
    <row r="103" spans="1:20" x14ac:dyDescent="0.2">
      <c r="A103" t="s">
        <v>270</v>
      </c>
      <c r="B103" t="s">
        <v>271</v>
      </c>
      <c r="C103" t="s">
        <v>272</v>
      </c>
      <c r="D103" t="s">
        <v>35</v>
      </c>
      <c r="E103" t="s">
        <v>505</v>
      </c>
      <c r="F103" t="s">
        <v>510</v>
      </c>
      <c r="G103" t="s">
        <v>133</v>
      </c>
      <c r="H103" t="s">
        <v>133</v>
      </c>
      <c r="M103" t="s">
        <v>137</v>
      </c>
      <c r="O103" t="s">
        <v>161</v>
      </c>
      <c r="S103" t="s">
        <v>506</v>
      </c>
      <c r="T103" t="s">
        <v>265</v>
      </c>
    </row>
    <row r="104" spans="1:20" x14ac:dyDescent="0.2">
      <c r="A104" t="s">
        <v>524</v>
      </c>
      <c r="B104" t="s">
        <v>525</v>
      </c>
      <c r="C104" t="s">
        <v>526</v>
      </c>
      <c r="D104" t="s">
        <v>61</v>
      </c>
      <c r="E104" t="s">
        <v>133</v>
      </c>
      <c r="F104" t="s">
        <v>510</v>
      </c>
      <c r="G104" t="s">
        <v>133</v>
      </c>
      <c r="H104" t="s">
        <v>133</v>
      </c>
      <c r="K104" t="s">
        <v>527</v>
      </c>
      <c r="M104" t="s">
        <v>137</v>
      </c>
      <c r="O104" t="s">
        <v>161</v>
      </c>
    </row>
    <row r="105" spans="1:20" x14ac:dyDescent="0.2">
      <c r="A105" t="s">
        <v>528</v>
      </c>
      <c r="B105" t="s">
        <v>529</v>
      </c>
      <c r="C105" t="s">
        <v>530</v>
      </c>
      <c r="D105" t="s">
        <v>35</v>
      </c>
      <c r="E105" t="s">
        <v>505</v>
      </c>
      <c r="F105" t="s">
        <v>510</v>
      </c>
      <c r="G105" t="s">
        <v>133</v>
      </c>
      <c r="H105" t="s">
        <v>133</v>
      </c>
      <c r="M105" t="s">
        <v>137</v>
      </c>
      <c r="O105" t="s">
        <v>161</v>
      </c>
      <c r="S105" t="s">
        <v>506</v>
      </c>
      <c r="T105" t="s">
        <v>265</v>
      </c>
    </row>
    <row r="106" spans="1:20" x14ac:dyDescent="0.2">
      <c r="A106" t="s">
        <v>528</v>
      </c>
      <c r="B106" t="s">
        <v>529</v>
      </c>
      <c r="C106" t="s">
        <v>530</v>
      </c>
      <c r="D106" t="s">
        <v>61</v>
      </c>
      <c r="E106" t="s">
        <v>255</v>
      </c>
      <c r="F106" t="s">
        <v>510</v>
      </c>
      <c r="G106" t="s">
        <v>133</v>
      </c>
      <c r="H106" t="s">
        <v>133</v>
      </c>
      <c r="K106" t="s">
        <v>276</v>
      </c>
      <c r="M106" t="s">
        <v>137</v>
      </c>
      <c r="O106" t="s">
        <v>161</v>
      </c>
    </row>
    <row r="107" spans="1:20" x14ac:dyDescent="0.2">
      <c r="A107" t="s">
        <v>283</v>
      </c>
      <c r="B107" t="s">
        <v>284</v>
      </c>
      <c r="C107" t="s">
        <v>285</v>
      </c>
      <c r="D107" t="s">
        <v>35</v>
      </c>
      <c r="E107" t="s">
        <v>505</v>
      </c>
      <c r="F107" t="s">
        <v>510</v>
      </c>
      <c r="G107" t="s">
        <v>133</v>
      </c>
      <c r="H107" t="s">
        <v>133</v>
      </c>
      <c r="M107" t="s">
        <v>282</v>
      </c>
      <c r="O107" t="s">
        <v>161</v>
      </c>
      <c r="S107" t="s">
        <v>506</v>
      </c>
      <c r="T107" t="s">
        <v>265</v>
      </c>
    </row>
    <row r="108" spans="1:20" x14ac:dyDescent="0.2">
      <c r="A108" t="s">
        <v>531</v>
      </c>
      <c r="B108" t="s">
        <v>532</v>
      </c>
      <c r="C108" t="s">
        <v>533</v>
      </c>
      <c r="D108" t="s">
        <v>61</v>
      </c>
      <c r="E108" t="s">
        <v>133</v>
      </c>
      <c r="F108" t="s">
        <v>133</v>
      </c>
      <c r="G108" t="s">
        <v>133</v>
      </c>
      <c r="H108" t="s">
        <v>133</v>
      </c>
      <c r="K108" t="s">
        <v>534</v>
      </c>
      <c r="M108" t="s">
        <v>282</v>
      </c>
      <c r="O108" t="s">
        <v>161</v>
      </c>
    </row>
    <row r="109" spans="1:20" x14ac:dyDescent="0.2">
      <c r="A109" t="s">
        <v>535</v>
      </c>
      <c r="B109" t="s">
        <v>536</v>
      </c>
      <c r="C109" t="s">
        <v>537</v>
      </c>
      <c r="D109" t="s">
        <v>35</v>
      </c>
      <c r="E109" t="s">
        <v>133</v>
      </c>
      <c r="F109" t="s">
        <v>510</v>
      </c>
      <c r="G109" t="s">
        <v>133</v>
      </c>
      <c r="H109" t="s">
        <v>133</v>
      </c>
      <c r="M109" t="s">
        <v>282</v>
      </c>
      <c r="O109" t="s">
        <v>161</v>
      </c>
      <c r="S109" t="s">
        <v>538</v>
      </c>
      <c r="T109" t="s">
        <v>265</v>
      </c>
    </row>
    <row r="110" spans="1:20" x14ac:dyDescent="0.2">
      <c r="A110" t="s">
        <v>539</v>
      </c>
      <c r="B110" t="s">
        <v>540</v>
      </c>
      <c r="C110" t="s">
        <v>541</v>
      </c>
      <c r="D110" t="s">
        <v>35</v>
      </c>
      <c r="E110" t="s">
        <v>133</v>
      </c>
      <c r="F110" t="s">
        <v>510</v>
      </c>
      <c r="G110" t="s">
        <v>133</v>
      </c>
      <c r="H110" t="s">
        <v>133</v>
      </c>
      <c r="M110" t="s">
        <v>282</v>
      </c>
      <c r="O110" t="s">
        <v>161</v>
      </c>
      <c r="S110" t="s">
        <v>538</v>
      </c>
      <c r="T110" t="s">
        <v>265</v>
      </c>
    </row>
    <row r="111" spans="1:20" x14ac:dyDescent="0.2">
      <c r="A111" t="s">
        <v>63</v>
      </c>
      <c r="B111" t="s">
        <v>64</v>
      </c>
      <c r="C111" t="s">
        <v>65</v>
      </c>
      <c r="D111" t="s">
        <v>24</v>
      </c>
      <c r="E111" t="s">
        <v>133</v>
      </c>
      <c r="F111" t="s">
        <v>510</v>
      </c>
      <c r="G111" t="s">
        <v>133</v>
      </c>
      <c r="H111" t="s">
        <v>133</v>
      </c>
      <c r="M111" t="s">
        <v>282</v>
      </c>
      <c r="O111" t="s">
        <v>161</v>
      </c>
      <c r="S111" t="s">
        <v>538</v>
      </c>
      <c r="T111" t="s">
        <v>265</v>
      </c>
    </row>
    <row r="112" spans="1:20" x14ac:dyDescent="0.2">
      <c r="A112" t="s">
        <v>542</v>
      </c>
      <c r="B112" t="s">
        <v>543</v>
      </c>
      <c r="C112" t="s">
        <v>544</v>
      </c>
      <c r="D112" t="s">
        <v>35</v>
      </c>
      <c r="E112" t="s">
        <v>133</v>
      </c>
      <c r="F112" t="s">
        <v>510</v>
      </c>
      <c r="G112" t="s">
        <v>545</v>
      </c>
      <c r="H112" t="s">
        <v>133</v>
      </c>
      <c r="M112" t="s">
        <v>137</v>
      </c>
      <c r="O112" t="s">
        <v>161</v>
      </c>
      <c r="S112" t="s">
        <v>538</v>
      </c>
      <c r="T112" t="s">
        <v>265</v>
      </c>
    </row>
    <row r="113" spans="1:20" x14ac:dyDescent="0.2">
      <c r="A113" t="s">
        <v>299</v>
      </c>
      <c r="B113" t="s">
        <v>300</v>
      </c>
      <c r="C113" t="s">
        <v>301</v>
      </c>
      <c r="D113" t="s">
        <v>35</v>
      </c>
      <c r="E113" t="s">
        <v>505</v>
      </c>
      <c r="F113" t="s">
        <v>510</v>
      </c>
      <c r="G113" t="s">
        <v>133</v>
      </c>
      <c r="H113" t="s">
        <v>133</v>
      </c>
      <c r="M113" t="s">
        <v>137</v>
      </c>
      <c r="O113" t="s">
        <v>161</v>
      </c>
      <c r="S113" t="s">
        <v>506</v>
      </c>
      <c r="T113" t="s">
        <v>265</v>
      </c>
    </row>
    <row r="114" spans="1:20" x14ac:dyDescent="0.2">
      <c r="A114" t="s">
        <v>546</v>
      </c>
      <c r="B114" t="s">
        <v>547</v>
      </c>
      <c r="C114" t="s">
        <v>548</v>
      </c>
      <c r="D114" t="s">
        <v>61</v>
      </c>
      <c r="E114" t="s">
        <v>133</v>
      </c>
      <c r="F114" t="s">
        <v>133</v>
      </c>
      <c r="G114" t="s">
        <v>133</v>
      </c>
      <c r="H114" t="s">
        <v>133</v>
      </c>
      <c r="K114" t="s">
        <v>549</v>
      </c>
      <c r="M114" t="s">
        <v>282</v>
      </c>
      <c r="O114" t="s">
        <v>161</v>
      </c>
    </row>
    <row r="115" spans="1:20" x14ac:dyDescent="0.2">
      <c r="A115" t="s">
        <v>550</v>
      </c>
      <c r="B115" t="s">
        <v>551</v>
      </c>
      <c r="C115" t="s">
        <v>552</v>
      </c>
      <c r="D115" t="s">
        <v>35</v>
      </c>
      <c r="E115" t="s">
        <v>133</v>
      </c>
      <c r="F115" t="s">
        <v>510</v>
      </c>
      <c r="G115" t="s">
        <v>133</v>
      </c>
      <c r="H115" t="s">
        <v>133</v>
      </c>
      <c r="M115" t="s">
        <v>282</v>
      </c>
      <c r="O115" t="s">
        <v>161</v>
      </c>
      <c r="S115" t="s">
        <v>538</v>
      </c>
      <c r="T115" t="s">
        <v>265</v>
      </c>
    </row>
    <row r="116" spans="1:20" x14ac:dyDescent="0.2">
      <c r="A116" t="s">
        <v>553</v>
      </c>
      <c r="B116" t="s">
        <v>554</v>
      </c>
      <c r="C116" t="s">
        <v>555</v>
      </c>
      <c r="D116" t="s">
        <v>35</v>
      </c>
      <c r="E116" t="s">
        <v>133</v>
      </c>
      <c r="F116" t="s">
        <v>510</v>
      </c>
      <c r="G116" t="s">
        <v>133</v>
      </c>
      <c r="H116" t="s">
        <v>133</v>
      </c>
      <c r="M116" t="s">
        <v>282</v>
      </c>
      <c r="O116" t="s">
        <v>161</v>
      </c>
      <c r="S116" t="s">
        <v>538</v>
      </c>
      <c r="T116" t="s">
        <v>265</v>
      </c>
    </row>
    <row r="117" spans="1:20" x14ac:dyDescent="0.2">
      <c r="A117" t="s">
        <v>556</v>
      </c>
      <c r="B117" t="s">
        <v>557</v>
      </c>
      <c r="C117" t="s">
        <v>558</v>
      </c>
      <c r="D117" t="s">
        <v>35</v>
      </c>
      <c r="E117" t="s">
        <v>133</v>
      </c>
      <c r="F117" t="s">
        <v>510</v>
      </c>
      <c r="G117" t="s">
        <v>133</v>
      </c>
      <c r="H117" t="s">
        <v>133</v>
      </c>
      <c r="M117" t="s">
        <v>282</v>
      </c>
      <c r="O117" t="s">
        <v>161</v>
      </c>
      <c r="S117" t="s">
        <v>538</v>
      </c>
      <c r="T117" t="s">
        <v>265</v>
      </c>
    </row>
    <row r="118" spans="1:20" x14ac:dyDescent="0.2">
      <c r="A118" t="s">
        <v>559</v>
      </c>
      <c r="B118" t="s">
        <v>560</v>
      </c>
      <c r="C118" t="s">
        <v>561</v>
      </c>
      <c r="D118" t="s">
        <v>35</v>
      </c>
      <c r="E118" t="s">
        <v>133</v>
      </c>
      <c r="F118" t="s">
        <v>510</v>
      </c>
      <c r="G118" t="s">
        <v>133</v>
      </c>
      <c r="H118" t="s">
        <v>133</v>
      </c>
      <c r="M118" t="s">
        <v>282</v>
      </c>
      <c r="O118" t="s">
        <v>161</v>
      </c>
      <c r="S118" t="s">
        <v>538</v>
      </c>
      <c r="T118" t="s">
        <v>265</v>
      </c>
    </row>
    <row r="119" spans="1:20" x14ac:dyDescent="0.2">
      <c r="A119" t="s">
        <v>315</v>
      </c>
      <c r="B119" t="s">
        <v>316</v>
      </c>
      <c r="C119" t="s">
        <v>317</v>
      </c>
      <c r="D119" t="s">
        <v>35</v>
      </c>
      <c r="E119" t="s">
        <v>505</v>
      </c>
      <c r="F119" t="s">
        <v>510</v>
      </c>
      <c r="G119" t="s">
        <v>133</v>
      </c>
      <c r="H119" t="s">
        <v>133</v>
      </c>
      <c r="M119" t="s">
        <v>282</v>
      </c>
      <c r="O119" t="s">
        <v>161</v>
      </c>
      <c r="S119" t="s">
        <v>506</v>
      </c>
      <c r="T119" t="s">
        <v>265</v>
      </c>
    </row>
    <row r="120" spans="1:20" x14ac:dyDescent="0.2">
      <c r="A120" t="s">
        <v>562</v>
      </c>
      <c r="B120" t="s">
        <v>563</v>
      </c>
      <c r="C120" t="s">
        <v>564</v>
      </c>
      <c r="D120" t="s">
        <v>61</v>
      </c>
      <c r="E120" t="s">
        <v>133</v>
      </c>
      <c r="F120" t="s">
        <v>510</v>
      </c>
      <c r="G120" t="s">
        <v>133</v>
      </c>
      <c r="H120" t="s">
        <v>133</v>
      </c>
      <c r="K120" t="s">
        <v>565</v>
      </c>
      <c r="M120" t="s">
        <v>282</v>
      </c>
      <c r="O120" t="s">
        <v>161</v>
      </c>
    </row>
    <row r="121" spans="1:20" x14ac:dyDescent="0.2">
      <c r="A121" t="s">
        <v>566</v>
      </c>
      <c r="B121" t="s">
        <v>567</v>
      </c>
      <c r="C121" t="s">
        <v>568</v>
      </c>
      <c r="D121" t="s">
        <v>35</v>
      </c>
      <c r="E121" t="s">
        <v>505</v>
      </c>
      <c r="F121" t="s">
        <v>510</v>
      </c>
      <c r="G121" t="s">
        <v>133</v>
      </c>
      <c r="H121" t="s">
        <v>133</v>
      </c>
      <c r="M121" t="s">
        <v>282</v>
      </c>
      <c r="O121" t="s">
        <v>161</v>
      </c>
      <c r="S121" t="s">
        <v>506</v>
      </c>
      <c r="T121" t="s">
        <v>265</v>
      </c>
    </row>
    <row r="122" spans="1:20" x14ac:dyDescent="0.2">
      <c r="A122" t="s">
        <v>566</v>
      </c>
      <c r="B122" t="s">
        <v>567</v>
      </c>
      <c r="C122" t="s">
        <v>568</v>
      </c>
      <c r="D122" t="s">
        <v>61</v>
      </c>
      <c r="E122" t="s">
        <v>255</v>
      </c>
      <c r="F122" t="s">
        <v>510</v>
      </c>
      <c r="G122" t="s">
        <v>133</v>
      </c>
      <c r="H122" t="s">
        <v>133</v>
      </c>
      <c r="K122" t="s">
        <v>322</v>
      </c>
      <c r="M122" t="s">
        <v>282</v>
      </c>
      <c r="O122" t="s">
        <v>161</v>
      </c>
    </row>
    <row r="123" spans="1:20" x14ac:dyDescent="0.2">
      <c r="A123" t="s">
        <v>330</v>
      </c>
      <c r="B123" t="s">
        <v>331</v>
      </c>
      <c r="C123" t="s">
        <v>332</v>
      </c>
      <c r="D123" t="s">
        <v>35</v>
      </c>
      <c r="E123" t="s">
        <v>505</v>
      </c>
      <c r="F123" t="s">
        <v>510</v>
      </c>
      <c r="G123" t="s">
        <v>133</v>
      </c>
      <c r="H123" t="s">
        <v>133</v>
      </c>
      <c r="M123" t="s">
        <v>137</v>
      </c>
      <c r="O123" t="s">
        <v>161</v>
      </c>
      <c r="S123" t="s">
        <v>506</v>
      </c>
      <c r="T123" t="s">
        <v>265</v>
      </c>
    </row>
    <row r="124" spans="1:20" x14ac:dyDescent="0.2">
      <c r="A124" t="s">
        <v>569</v>
      </c>
      <c r="B124" t="s">
        <v>570</v>
      </c>
      <c r="C124" t="s">
        <v>571</v>
      </c>
      <c r="D124" t="s">
        <v>61</v>
      </c>
      <c r="E124" t="s">
        <v>133</v>
      </c>
      <c r="F124" t="s">
        <v>510</v>
      </c>
      <c r="G124" t="s">
        <v>133</v>
      </c>
      <c r="H124" t="s">
        <v>133</v>
      </c>
      <c r="K124" t="s">
        <v>572</v>
      </c>
      <c r="M124" t="s">
        <v>137</v>
      </c>
      <c r="N124" t="s">
        <v>573</v>
      </c>
      <c r="O124" t="s">
        <v>161</v>
      </c>
    </row>
    <row r="125" spans="1:20" x14ac:dyDescent="0.2">
      <c r="A125" t="s">
        <v>574</v>
      </c>
      <c r="B125" t="s">
        <v>575</v>
      </c>
      <c r="C125" t="s">
        <v>576</v>
      </c>
      <c r="D125" t="s">
        <v>35</v>
      </c>
      <c r="E125" t="s">
        <v>133</v>
      </c>
      <c r="F125" t="s">
        <v>510</v>
      </c>
      <c r="G125" t="s">
        <v>133</v>
      </c>
      <c r="H125" t="s">
        <v>133</v>
      </c>
      <c r="M125" t="s">
        <v>137</v>
      </c>
      <c r="O125" t="s">
        <v>161</v>
      </c>
      <c r="S125" t="s">
        <v>506</v>
      </c>
      <c r="T125" t="s">
        <v>265</v>
      </c>
    </row>
    <row r="126" spans="1:20" x14ac:dyDescent="0.2">
      <c r="A126" t="s">
        <v>577</v>
      </c>
      <c r="B126" t="s">
        <v>578</v>
      </c>
      <c r="C126" t="s">
        <v>579</v>
      </c>
      <c r="D126" t="s">
        <v>35</v>
      </c>
      <c r="E126" t="s">
        <v>133</v>
      </c>
      <c r="F126" t="s">
        <v>510</v>
      </c>
      <c r="G126" t="s">
        <v>133</v>
      </c>
      <c r="H126" t="s">
        <v>133</v>
      </c>
      <c r="M126" t="s">
        <v>137</v>
      </c>
      <c r="O126" t="s">
        <v>161</v>
      </c>
      <c r="S126" t="s">
        <v>506</v>
      </c>
      <c r="T126" t="s">
        <v>265</v>
      </c>
    </row>
    <row r="127" spans="1:20" x14ac:dyDescent="0.2">
      <c r="A127" t="s">
        <v>368</v>
      </c>
      <c r="B127" t="s">
        <v>369</v>
      </c>
      <c r="C127" t="s">
        <v>370</v>
      </c>
      <c r="D127" t="s">
        <v>35</v>
      </c>
      <c r="E127" t="s">
        <v>505</v>
      </c>
      <c r="F127" t="s">
        <v>510</v>
      </c>
      <c r="G127" t="s">
        <v>133</v>
      </c>
      <c r="H127" t="s">
        <v>133</v>
      </c>
      <c r="M127" t="s">
        <v>282</v>
      </c>
      <c r="O127" t="s">
        <v>161</v>
      </c>
      <c r="S127" t="s">
        <v>506</v>
      </c>
      <c r="T127" t="s">
        <v>265</v>
      </c>
    </row>
    <row r="128" spans="1:20" x14ac:dyDescent="0.2">
      <c r="A128" t="s">
        <v>580</v>
      </c>
      <c r="B128" t="s">
        <v>581</v>
      </c>
      <c r="C128" t="s">
        <v>582</v>
      </c>
      <c r="D128" t="s">
        <v>61</v>
      </c>
      <c r="E128" t="s">
        <v>133</v>
      </c>
      <c r="F128" t="s">
        <v>510</v>
      </c>
      <c r="G128" t="s">
        <v>133</v>
      </c>
      <c r="H128" t="s">
        <v>133</v>
      </c>
      <c r="K128" t="s">
        <v>583</v>
      </c>
      <c r="M128" t="s">
        <v>282</v>
      </c>
      <c r="O128" t="s">
        <v>161</v>
      </c>
    </row>
    <row r="129" spans="1:20" x14ac:dyDescent="0.2">
      <c r="A129" t="s">
        <v>584</v>
      </c>
      <c r="B129" t="s">
        <v>585</v>
      </c>
      <c r="C129" t="s">
        <v>586</v>
      </c>
      <c r="D129" t="s">
        <v>35</v>
      </c>
      <c r="E129" t="s">
        <v>133</v>
      </c>
      <c r="F129" t="s">
        <v>510</v>
      </c>
      <c r="G129" t="s">
        <v>133</v>
      </c>
      <c r="H129" t="s">
        <v>133</v>
      </c>
      <c r="M129" t="s">
        <v>282</v>
      </c>
      <c r="O129" t="s">
        <v>161</v>
      </c>
      <c r="S129" t="s">
        <v>506</v>
      </c>
      <c r="T129" t="s">
        <v>265</v>
      </c>
    </row>
    <row r="130" spans="1:20" x14ac:dyDescent="0.2">
      <c r="A130" t="s">
        <v>587</v>
      </c>
      <c r="B130" t="s">
        <v>588</v>
      </c>
      <c r="C130" t="s">
        <v>589</v>
      </c>
      <c r="D130" t="s">
        <v>35</v>
      </c>
      <c r="E130" t="s">
        <v>133</v>
      </c>
      <c r="F130" t="s">
        <v>510</v>
      </c>
      <c r="G130" t="s">
        <v>133</v>
      </c>
      <c r="H130" t="s">
        <v>133</v>
      </c>
      <c r="M130" t="s">
        <v>282</v>
      </c>
      <c r="O130" t="s">
        <v>161</v>
      </c>
      <c r="S130" t="s">
        <v>506</v>
      </c>
      <c r="T130" t="s">
        <v>265</v>
      </c>
    </row>
    <row r="131" spans="1:20" x14ac:dyDescent="0.2">
      <c r="A131" t="s">
        <v>590</v>
      </c>
      <c r="B131" t="s">
        <v>591</v>
      </c>
      <c r="C131" t="s">
        <v>592</v>
      </c>
      <c r="D131" t="s">
        <v>35</v>
      </c>
      <c r="E131" t="s">
        <v>133</v>
      </c>
      <c r="F131" t="s">
        <v>510</v>
      </c>
      <c r="G131" t="s">
        <v>133</v>
      </c>
      <c r="M131" t="s">
        <v>137</v>
      </c>
      <c r="O131" t="s">
        <v>150</v>
      </c>
      <c r="S131" t="s">
        <v>506</v>
      </c>
      <c r="T131" t="s">
        <v>265</v>
      </c>
    </row>
    <row r="132" spans="1:20" x14ac:dyDescent="0.2">
      <c r="A132" t="s">
        <v>593</v>
      </c>
      <c r="B132" t="s">
        <v>594</v>
      </c>
      <c r="C132" t="s">
        <v>595</v>
      </c>
      <c r="D132" t="s">
        <v>35</v>
      </c>
      <c r="E132" t="s">
        <v>133</v>
      </c>
      <c r="F132" t="s">
        <v>510</v>
      </c>
      <c r="G132" t="s">
        <v>133</v>
      </c>
      <c r="M132" t="s">
        <v>137</v>
      </c>
      <c r="O132" t="s">
        <v>150</v>
      </c>
      <c r="S132" t="s">
        <v>506</v>
      </c>
      <c r="T132" t="s">
        <v>265</v>
      </c>
    </row>
    <row r="133" spans="1:20" x14ac:dyDescent="0.2">
      <c r="A133" t="s">
        <v>596</v>
      </c>
      <c r="B133" t="s">
        <v>597</v>
      </c>
      <c r="C133" t="s">
        <v>598</v>
      </c>
      <c r="D133" t="s">
        <v>35</v>
      </c>
      <c r="E133" t="s">
        <v>133</v>
      </c>
      <c r="F133" t="s">
        <v>510</v>
      </c>
      <c r="G133" t="s">
        <v>133</v>
      </c>
      <c r="M133" t="s">
        <v>137</v>
      </c>
      <c r="O133" t="s">
        <v>511</v>
      </c>
      <c r="Q133" t="s">
        <v>599</v>
      </c>
      <c r="S133" t="s">
        <v>506</v>
      </c>
      <c r="T133" t="s">
        <v>265</v>
      </c>
    </row>
    <row r="134" spans="1:20" x14ac:dyDescent="0.2">
      <c r="A134" t="s">
        <v>344</v>
      </c>
      <c r="B134" t="s">
        <v>345</v>
      </c>
      <c r="C134" t="s">
        <v>346</v>
      </c>
      <c r="D134" t="s">
        <v>35</v>
      </c>
      <c r="E134" t="s">
        <v>505</v>
      </c>
      <c r="F134" t="s">
        <v>510</v>
      </c>
      <c r="G134" t="s">
        <v>133</v>
      </c>
      <c r="H134" t="s">
        <v>133</v>
      </c>
      <c r="M134" t="s">
        <v>282</v>
      </c>
      <c r="O134" t="s">
        <v>161</v>
      </c>
      <c r="S134" t="s">
        <v>506</v>
      </c>
      <c r="T134" t="s">
        <v>265</v>
      </c>
    </row>
    <row r="135" spans="1:20" x14ac:dyDescent="0.2">
      <c r="A135" t="s">
        <v>600</v>
      </c>
      <c r="B135" t="s">
        <v>601</v>
      </c>
      <c r="C135" t="s">
        <v>602</v>
      </c>
      <c r="D135" t="s">
        <v>35</v>
      </c>
      <c r="E135" t="s">
        <v>133</v>
      </c>
      <c r="F135" t="s">
        <v>510</v>
      </c>
      <c r="H135" t="s">
        <v>133</v>
      </c>
      <c r="M135" t="s">
        <v>282</v>
      </c>
      <c r="O135" t="s">
        <v>161</v>
      </c>
      <c r="S135" t="s">
        <v>506</v>
      </c>
      <c r="T135" t="s">
        <v>265</v>
      </c>
    </row>
    <row r="136" spans="1:20" x14ac:dyDescent="0.2">
      <c r="A136" t="s">
        <v>603</v>
      </c>
      <c r="B136" t="s">
        <v>604</v>
      </c>
      <c r="C136" t="s">
        <v>605</v>
      </c>
      <c r="D136" t="s">
        <v>24</v>
      </c>
      <c r="E136" t="s">
        <v>133</v>
      </c>
      <c r="F136" t="s">
        <v>510</v>
      </c>
      <c r="H136" t="s">
        <v>133</v>
      </c>
      <c r="M136" t="s">
        <v>282</v>
      </c>
      <c r="O136" t="s">
        <v>161</v>
      </c>
      <c r="S136" t="s">
        <v>506</v>
      </c>
      <c r="T136" t="s">
        <v>265</v>
      </c>
    </row>
    <row r="137" spans="1:20" x14ac:dyDescent="0.2">
      <c r="A137" t="s">
        <v>507</v>
      </c>
      <c r="B137" t="s">
        <v>508</v>
      </c>
      <c r="C137" t="s">
        <v>509</v>
      </c>
      <c r="D137" t="s">
        <v>35</v>
      </c>
      <c r="E137" t="s">
        <v>505</v>
      </c>
      <c r="F137" t="s">
        <v>606</v>
      </c>
      <c r="G137" t="s">
        <v>496</v>
      </c>
      <c r="H137" t="s">
        <v>133</v>
      </c>
      <c r="O137" t="s">
        <v>511</v>
      </c>
      <c r="Q137" t="s">
        <v>512</v>
      </c>
      <c r="S137" t="s">
        <v>607</v>
      </c>
      <c r="T137" t="s">
        <v>265</v>
      </c>
    </row>
    <row r="138" spans="1:20" x14ac:dyDescent="0.2">
      <c r="A138" t="s">
        <v>507</v>
      </c>
      <c r="B138" t="s">
        <v>508</v>
      </c>
      <c r="C138" t="s">
        <v>509</v>
      </c>
      <c r="D138" t="s">
        <v>61</v>
      </c>
      <c r="E138" t="s">
        <v>255</v>
      </c>
      <c r="F138" t="s">
        <v>606</v>
      </c>
      <c r="G138" t="s">
        <v>496</v>
      </c>
      <c r="H138" t="s">
        <v>133</v>
      </c>
      <c r="K138" t="s">
        <v>513</v>
      </c>
      <c r="O138" t="s">
        <v>511</v>
      </c>
      <c r="Q138" t="s">
        <v>512</v>
      </c>
    </row>
    <row r="139" spans="1:20" x14ac:dyDescent="0.2">
      <c r="A139" t="s">
        <v>514</v>
      </c>
      <c r="B139" t="s">
        <v>515</v>
      </c>
      <c r="C139" t="s">
        <v>516</v>
      </c>
      <c r="D139" t="s">
        <v>61</v>
      </c>
      <c r="E139" t="s">
        <v>133</v>
      </c>
      <c r="F139" t="s">
        <v>606</v>
      </c>
      <c r="G139" t="s">
        <v>133</v>
      </c>
      <c r="K139" t="s">
        <v>517</v>
      </c>
      <c r="M139" t="s">
        <v>137</v>
      </c>
      <c r="O139" t="s">
        <v>161</v>
      </c>
    </row>
    <row r="140" spans="1:20" x14ac:dyDescent="0.2">
      <c r="A140" t="s">
        <v>518</v>
      </c>
      <c r="B140" t="s">
        <v>519</v>
      </c>
      <c r="C140" t="s">
        <v>520</v>
      </c>
      <c r="D140" t="s">
        <v>35</v>
      </c>
      <c r="E140" t="s">
        <v>133</v>
      </c>
      <c r="F140" t="s">
        <v>606</v>
      </c>
      <c r="G140" t="s">
        <v>220</v>
      </c>
      <c r="M140" t="s">
        <v>137</v>
      </c>
      <c r="O140" t="s">
        <v>161</v>
      </c>
      <c r="S140" t="s">
        <v>607</v>
      </c>
      <c r="T140" t="s">
        <v>265</v>
      </c>
    </row>
    <row r="141" spans="1:20" x14ac:dyDescent="0.2">
      <c r="A141" t="s">
        <v>521</v>
      </c>
      <c r="B141" t="s">
        <v>522</v>
      </c>
      <c r="C141" t="s">
        <v>523</v>
      </c>
      <c r="D141" t="s">
        <v>35</v>
      </c>
      <c r="E141" t="s">
        <v>133</v>
      </c>
      <c r="F141" t="s">
        <v>606</v>
      </c>
      <c r="G141" t="s">
        <v>496</v>
      </c>
      <c r="M141" t="s">
        <v>137</v>
      </c>
      <c r="O141" t="s">
        <v>161</v>
      </c>
      <c r="S141" t="s">
        <v>607</v>
      </c>
      <c r="T141" t="s">
        <v>265</v>
      </c>
    </row>
    <row r="142" spans="1:20" x14ac:dyDescent="0.2">
      <c r="A142" t="s">
        <v>270</v>
      </c>
      <c r="B142" t="s">
        <v>271</v>
      </c>
      <c r="C142" t="s">
        <v>272</v>
      </c>
      <c r="D142" t="s">
        <v>35</v>
      </c>
      <c r="E142" t="s">
        <v>505</v>
      </c>
      <c r="F142" t="s">
        <v>606</v>
      </c>
      <c r="G142" t="s">
        <v>133</v>
      </c>
      <c r="H142" t="s">
        <v>133</v>
      </c>
      <c r="M142" t="s">
        <v>137</v>
      </c>
      <c r="O142" t="s">
        <v>161</v>
      </c>
      <c r="S142" t="s">
        <v>607</v>
      </c>
      <c r="T142" t="s">
        <v>265</v>
      </c>
    </row>
    <row r="143" spans="1:20" x14ac:dyDescent="0.2">
      <c r="A143" t="s">
        <v>524</v>
      </c>
      <c r="B143" t="s">
        <v>525</v>
      </c>
      <c r="C143" t="s">
        <v>526</v>
      </c>
      <c r="D143" t="s">
        <v>61</v>
      </c>
      <c r="E143" t="s">
        <v>133</v>
      </c>
      <c r="F143" t="s">
        <v>606</v>
      </c>
      <c r="G143" t="s">
        <v>133</v>
      </c>
      <c r="H143" t="s">
        <v>133</v>
      </c>
      <c r="K143" t="s">
        <v>527</v>
      </c>
      <c r="M143" t="s">
        <v>137</v>
      </c>
      <c r="O143" t="s">
        <v>161</v>
      </c>
    </row>
    <row r="144" spans="1:20" x14ac:dyDescent="0.2">
      <c r="A144" t="s">
        <v>528</v>
      </c>
      <c r="B144" t="s">
        <v>529</v>
      </c>
      <c r="C144" t="s">
        <v>530</v>
      </c>
      <c r="D144" t="s">
        <v>35</v>
      </c>
      <c r="E144" t="s">
        <v>505</v>
      </c>
      <c r="F144" t="s">
        <v>606</v>
      </c>
      <c r="G144" t="s">
        <v>133</v>
      </c>
      <c r="H144" t="s">
        <v>133</v>
      </c>
      <c r="M144" t="s">
        <v>137</v>
      </c>
      <c r="O144" t="s">
        <v>161</v>
      </c>
      <c r="S144" t="s">
        <v>607</v>
      </c>
      <c r="T144" t="s">
        <v>265</v>
      </c>
    </row>
    <row r="145" spans="1:20" x14ac:dyDescent="0.2">
      <c r="A145" t="s">
        <v>528</v>
      </c>
      <c r="B145" t="s">
        <v>529</v>
      </c>
      <c r="C145" t="s">
        <v>530</v>
      </c>
      <c r="D145" t="s">
        <v>61</v>
      </c>
      <c r="E145" t="s">
        <v>255</v>
      </c>
      <c r="F145" t="s">
        <v>606</v>
      </c>
      <c r="G145" t="s">
        <v>133</v>
      </c>
      <c r="H145" t="s">
        <v>133</v>
      </c>
      <c r="K145" t="s">
        <v>276</v>
      </c>
      <c r="M145" t="s">
        <v>137</v>
      </c>
      <c r="O145" t="s">
        <v>161</v>
      </c>
    </row>
    <row r="146" spans="1:20" x14ac:dyDescent="0.2">
      <c r="A146" t="s">
        <v>283</v>
      </c>
      <c r="B146" t="s">
        <v>284</v>
      </c>
      <c r="C146" t="s">
        <v>285</v>
      </c>
      <c r="D146" t="s">
        <v>35</v>
      </c>
      <c r="E146" t="s">
        <v>505</v>
      </c>
      <c r="F146" t="s">
        <v>606</v>
      </c>
      <c r="G146" t="s">
        <v>133</v>
      </c>
      <c r="H146" t="s">
        <v>133</v>
      </c>
      <c r="M146" t="s">
        <v>282</v>
      </c>
      <c r="O146" t="s">
        <v>161</v>
      </c>
      <c r="S146" t="s">
        <v>607</v>
      </c>
      <c r="T146" t="s">
        <v>265</v>
      </c>
    </row>
    <row r="147" spans="1:20" x14ac:dyDescent="0.2">
      <c r="A147" t="s">
        <v>535</v>
      </c>
      <c r="B147" t="s">
        <v>536</v>
      </c>
      <c r="C147" t="s">
        <v>537</v>
      </c>
      <c r="D147" t="s">
        <v>35</v>
      </c>
      <c r="E147" t="s">
        <v>133</v>
      </c>
      <c r="F147" t="s">
        <v>606</v>
      </c>
      <c r="G147" t="s">
        <v>133</v>
      </c>
      <c r="H147" t="s">
        <v>133</v>
      </c>
      <c r="M147" t="s">
        <v>282</v>
      </c>
      <c r="O147" t="s">
        <v>161</v>
      </c>
      <c r="S147" t="s">
        <v>538</v>
      </c>
      <c r="T147" t="s">
        <v>265</v>
      </c>
    </row>
    <row r="148" spans="1:20" x14ac:dyDescent="0.2">
      <c r="A148" t="s">
        <v>539</v>
      </c>
      <c r="B148" t="s">
        <v>540</v>
      </c>
      <c r="C148" t="s">
        <v>541</v>
      </c>
      <c r="D148" t="s">
        <v>35</v>
      </c>
      <c r="E148" t="s">
        <v>133</v>
      </c>
      <c r="F148" t="s">
        <v>606</v>
      </c>
      <c r="G148" t="s">
        <v>133</v>
      </c>
      <c r="H148" t="s">
        <v>133</v>
      </c>
      <c r="M148" t="s">
        <v>282</v>
      </c>
      <c r="O148" t="s">
        <v>161</v>
      </c>
      <c r="S148" t="s">
        <v>538</v>
      </c>
      <c r="T148" t="s">
        <v>265</v>
      </c>
    </row>
    <row r="149" spans="1:20" x14ac:dyDescent="0.2">
      <c r="A149" t="s">
        <v>63</v>
      </c>
      <c r="B149" t="s">
        <v>64</v>
      </c>
      <c r="C149" t="s">
        <v>65</v>
      </c>
      <c r="D149" t="s">
        <v>24</v>
      </c>
      <c r="E149" t="s">
        <v>133</v>
      </c>
      <c r="F149" t="s">
        <v>606</v>
      </c>
      <c r="G149" t="s">
        <v>133</v>
      </c>
      <c r="H149" t="s">
        <v>133</v>
      </c>
      <c r="M149" t="s">
        <v>282</v>
      </c>
      <c r="O149" t="s">
        <v>161</v>
      </c>
      <c r="S149" t="s">
        <v>538</v>
      </c>
      <c r="T149" t="s">
        <v>265</v>
      </c>
    </row>
    <row r="150" spans="1:20" x14ac:dyDescent="0.2">
      <c r="A150" t="s">
        <v>542</v>
      </c>
      <c r="B150" t="s">
        <v>543</v>
      </c>
      <c r="C150" t="s">
        <v>544</v>
      </c>
      <c r="D150" t="s">
        <v>35</v>
      </c>
      <c r="E150" t="s">
        <v>133</v>
      </c>
      <c r="F150" t="s">
        <v>606</v>
      </c>
      <c r="G150" t="s">
        <v>133</v>
      </c>
      <c r="H150" t="s">
        <v>133</v>
      </c>
      <c r="M150" t="s">
        <v>137</v>
      </c>
      <c r="O150" t="s">
        <v>161</v>
      </c>
      <c r="S150" t="s">
        <v>538</v>
      </c>
      <c r="T150" t="s">
        <v>265</v>
      </c>
    </row>
    <row r="151" spans="1:20" x14ac:dyDescent="0.2">
      <c r="A151" t="s">
        <v>299</v>
      </c>
      <c r="B151" t="s">
        <v>300</v>
      </c>
      <c r="C151" t="s">
        <v>301</v>
      </c>
      <c r="D151" t="s">
        <v>35</v>
      </c>
      <c r="E151" t="s">
        <v>505</v>
      </c>
      <c r="F151" t="s">
        <v>606</v>
      </c>
      <c r="G151" t="s">
        <v>133</v>
      </c>
      <c r="H151" t="s">
        <v>133</v>
      </c>
      <c r="M151" t="s">
        <v>137</v>
      </c>
      <c r="O151" t="s">
        <v>161</v>
      </c>
      <c r="S151" t="s">
        <v>607</v>
      </c>
      <c r="T151" t="s">
        <v>265</v>
      </c>
    </row>
    <row r="152" spans="1:20" x14ac:dyDescent="0.2">
      <c r="A152" t="s">
        <v>550</v>
      </c>
      <c r="B152" t="s">
        <v>551</v>
      </c>
      <c r="C152" t="s">
        <v>552</v>
      </c>
      <c r="D152" t="s">
        <v>35</v>
      </c>
      <c r="E152" t="s">
        <v>133</v>
      </c>
      <c r="F152" t="s">
        <v>606</v>
      </c>
      <c r="G152" t="s">
        <v>133</v>
      </c>
      <c r="H152" t="s">
        <v>133</v>
      </c>
      <c r="M152" t="s">
        <v>282</v>
      </c>
      <c r="O152" t="s">
        <v>161</v>
      </c>
      <c r="S152" t="s">
        <v>538</v>
      </c>
      <c r="T152" t="s">
        <v>265</v>
      </c>
    </row>
    <row r="153" spans="1:20" x14ac:dyDescent="0.2">
      <c r="A153" t="s">
        <v>553</v>
      </c>
      <c r="B153" t="s">
        <v>554</v>
      </c>
      <c r="C153" t="s">
        <v>555</v>
      </c>
      <c r="D153" t="s">
        <v>35</v>
      </c>
      <c r="E153" t="s">
        <v>133</v>
      </c>
      <c r="F153" t="s">
        <v>606</v>
      </c>
      <c r="G153" t="s">
        <v>133</v>
      </c>
      <c r="H153" t="s">
        <v>133</v>
      </c>
      <c r="M153" t="s">
        <v>282</v>
      </c>
      <c r="O153" t="s">
        <v>161</v>
      </c>
      <c r="S153" t="s">
        <v>538</v>
      </c>
      <c r="T153" t="s">
        <v>265</v>
      </c>
    </row>
    <row r="154" spans="1:20" x14ac:dyDescent="0.2">
      <c r="A154" t="s">
        <v>556</v>
      </c>
      <c r="B154" t="s">
        <v>557</v>
      </c>
      <c r="C154" t="s">
        <v>558</v>
      </c>
      <c r="D154" t="s">
        <v>35</v>
      </c>
      <c r="E154" t="s">
        <v>133</v>
      </c>
      <c r="F154" t="s">
        <v>606</v>
      </c>
      <c r="G154" t="s">
        <v>133</v>
      </c>
      <c r="H154" t="s">
        <v>133</v>
      </c>
      <c r="M154" t="s">
        <v>282</v>
      </c>
      <c r="O154" t="s">
        <v>161</v>
      </c>
      <c r="S154" t="s">
        <v>538</v>
      </c>
      <c r="T154" t="s">
        <v>265</v>
      </c>
    </row>
    <row r="155" spans="1:20" x14ac:dyDescent="0.2">
      <c r="A155" t="s">
        <v>559</v>
      </c>
      <c r="B155" t="s">
        <v>560</v>
      </c>
      <c r="C155" t="s">
        <v>561</v>
      </c>
      <c r="D155" t="s">
        <v>35</v>
      </c>
      <c r="E155" t="s">
        <v>133</v>
      </c>
      <c r="F155" t="s">
        <v>606</v>
      </c>
      <c r="G155" t="s">
        <v>133</v>
      </c>
      <c r="H155" t="s">
        <v>133</v>
      </c>
      <c r="M155" t="s">
        <v>282</v>
      </c>
      <c r="O155" t="s">
        <v>161</v>
      </c>
      <c r="S155" t="s">
        <v>538</v>
      </c>
      <c r="T155" t="s">
        <v>265</v>
      </c>
    </row>
    <row r="156" spans="1:20" x14ac:dyDescent="0.2">
      <c r="A156" t="s">
        <v>315</v>
      </c>
      <c r="B156" t="s">
        <v>316</v>
      </c>
      <c r="C156" t="s">
        <v>317</v>
      </c>
      <c r="D156" t="s">
        <v>35</v>
      </c>
      <c r="E156" t="s">
        <v>505</v>
      </c>
      <c r="F156" t="s">
        <v>606</v>
      </c>
      <c r="G156" t="s">
        <v>133</v>
      </c>
      <c r="H156" t="s">
        <v>133</v>
      </c>
      <c r="M156" t="s">
        <v>282</v>
      </c>
      <c r="O156" t="s">
        <v>161</v>
      </c>
      <c r="S156" t="s">
        <v>607</v>
      </c>
      <c r="T156" t="s">
        <v>265</v>
      </c>
    </row>
    <row r="157" spans="1:20" x14ac:dyDescent="0.2">
      <c r="A157" t="s">
        <v>562</v>
      </c>
      <c r="B157" t="s">
        <v>563</v>
      </c>
      <c r="C157" t="s">
        <v>564</v>
      </c>
      <c r="D157" t="s">
        <v>61</v>
      </c>
      <c r="E157" t="s">
        <v>133</v>
      </c>
      <c r="F157" t="s">
        <v>606</v>
      </c>
      <c r="G157" t="s">
        <v>133</v>
      </c>
      <c r="H157" t="s">
        <v>133</v>
      </c>
      <c r="K157" t="s">
        <v>565</v>
      </c>
      <c r="M157" t="s">
        <v>282</v>
      </c>
      <c r="O157" t="s">
        <v>161</v>
      </c>
    </row>
    <row r="158" spans="1:20" x14ac:dyDescent="0.2">
      <c r="A158" t="s">
        <v>566</v>
      </c>
      <c r="B158" t="s">
        <v>567</v>
      </c>
      <c r="C158" t="s">
        <v>568</v>
      </c>
      <c r="D158" t="s">
        <v>35</v>
      </c>
      <c r="E158" t="s">
        <v>505</v>
      </c>
      <c r="F158" t="s">
        <v>606</v>
      </c>
      <c r="G158" t="s">
        <v>133</v>
      </c>
      <c r="H158" t="s">
        <v>133</v>
      </c>
      <c r="M158" t="s">
        <v>282</v>
      </c>
      <c r="O158" t="s">
        <v>161</v>
      </c>
      <c r="S158" t="s">
        <v>607</v>
      </c>
      <c r="T158" t="s">
        <v>265</v>
      </c>
    </row>
    <row r="159" spans="1:20" x14ac:dyDescent="0.2">
      <c r="A159" t="s">
        <v>566</v>
      </c>
      <c r="B159" t="s">
        <v>567</v>
      </c>
      <c r="C159" t="s">
        <v>568</v>
      </c>
      <c r="D159" t="s">
        <v>61</v>
      </c>
      <c r="E159" t="s">
        <v>255</v>
      </c>
      <c r="F159" t="s">
        <v>606</v>
      </c>
      <c r="G159" t="s">
        <v>133</v>
      </c>
      <c r="H159" t="s">
        <v>133</v>
      </c>
      <c r="K159" t="s">
        <v>322</v>
      </c>
      <c r="M159" t="s">
        <v>282</v>
      </c>
      <c r="O159" t="s">
        <v>161</v>
      </c>
    </row>
    <row r="160" spans="1:20" x14ac:dyDescent="0.2">
      <c r="A160" t="s">
        <v>330</v>
      </c>
      <c r="B160" t="s">
        <v>331</v>
      </c>
      <c r="C160" t="s">
        <v>332</v>
      </c>
      <c r="D160" t="s">
        <v>35</v>
      </c>
      <c r="E160" t="s">
        <v>505</v>
      </c>
      <c r="F160" t="s">
        <v>606</v>
      </c>
      <c r="G160" t="s">
        <v>133</v>
      </c>
      <c r="H160" t="s">
        <v>133</v>
      </c>
      <c r="M160" t="s">
        <v>137</v>
      </c>
      <c r="O160" t="s">
        <v>161</v>
      </c>
      <c r="S160" t="s">
        <v>607</v>
      </c>
      <c r="T160" t="s">
        <v>265</v>
      </c>
    </row>
    <row r="161" spans="1:20" x14ac:dyDescent="0.2">
      <c r="A161" t="s">
        <v>569</v>
      </c>
      <c r="B161" t="s">
        <v>570</v>
      </c>
      <c r="C161" t="s">
        <v>571</v>
      </c>
      <c r="D161" t="s">
        <v>61</v>
      </c>
      <c r="E161" t="s">
        <v>133</v>
      </c>
      <c r="F161" t="s">
        <v>606</v>
      </c>
      <c r="G161" t="s">
        <v>133</v>
      </c>
      <c r="H161" t="s">
        <v>133</v>
      </c>
      <c r="K161" t="s">
        <v>572</v>
      </c>
      <c r="M161" t="s">
        <v>137</v>
      </c>
      <c r="N161" t="s">
        <v>573</v>
      </c>
      <c r="O161" t="s">
        <v>161</v>
      </c>
    </row>
    <row r="162" spans="1:20" x14ac:dyDescent="0.2">
      <c r="A162" t="s">
        <v>574</v>
      </c>
      <c r="B162" t="s">
        <v>575</v>
      </c>
      <c r="C162" t="s">
        <v>576</v>
      </c>
      <c r="D162" t="s">
        <v>35</v>
      </c>
      <c r="E162" t="s">
        <v>133</v>
      </c>
      <c r="F162" t="s">
        <v>606</v>
      </c>
      <c r="G162" t="s">
        <v>133</v>
      </c>
      <c r="H162" t="s">
        <v>133</v>
      </c>
      <c r="M162" t="s">
        <v>137</v>
      </c>
      <c r="O162" t="s">
        <v>161</v>
      </c>
      <c r="S162" t="s">
        <v>607</v>
      </c>
      <c r="T162" t="s">
        <v>265</v>
      </c>
    </row>
    <row r="163" spans="1:20" x14ac:dyDescent="0.2">
      <c r="A163" t="s">
        <v>577</v>
      </c>
      <c r="B163" t="s">
        <v>578</v>
      </c>
      <c r="C163" t="s">
        <v>579</v>
      </c>
      <c r="D163" t="s">
        <v>35</v>
      </c>
      <c r="E163" t="s">
        <v>133</v>
      </c>
      <c r="F163" t="s">
        <v>606</v>
      </c>
      <c r="G163" t="s">
        <v>133</v>
      </c>
      <c r="H163" t="s">
        <v>133</v>
      </c>
      <c r="M163" t="s">
        <v>137</v>
      </c>
      <c r="O163" t="s">
        <v>161</v>
      </c>
      <c r="S163" t="s">
        <v>607</v>
      </c>
      <c r="T163" t="s">
        <v>265</v>
      </c>
    </row>
    <row r="164" spans="1:20" x14ac:dyDescent="0.2">
      <c r="A164" t="s">
        <v>608</v>
      </c>
      <c r="B164" t="s">
        <v>609</v>
      </c>
      <c r="C164" t="s">
        <v>610</v>
      </c>
      <c r="D164" t="s">
        <v>35</v>
      </c>
      <c r="E164" t="s">
        <v>133</v>
      </c>
      <c r="F164" t="s">
        <v>606</v>
      </c>
      <c r="G164" t="s">
        <v>133</v>
      </c>
      <c r="H164" t="s">
        <v>133</v>
      </c>
      <c r="M164" t="s">
        <v>137</v>
      </c>
      <c r="O164" t="s">
        <v>161</v>
      </c>
      <c r="S164" t="s">
        <v>607</v>
      </c>
      <c r="T164" t="s">
        <v>265</v>
      </c>
    </row>
    <row r="165" spans="1:20" x14ac:dyDescent="0.2">
      <c r="A165" t="s">
        <v>368</v>
      </c>
      <c r="B165" t="s">
        <v>369</v>
      </c>
      <c r="C165" t="s">
        <v>370</v>
      </c>
      <c r="D165" t="s">
        <v>35</v>
      </c>
      <c r="E165" t="s">
        <v>505</v>
      </c>
      <c r="F165" t="s">
        <v>606</v>
      </c>
      <c r="G165" t="s">
        <v>133</v>
      </c>
      <c r="H165" t="s">
        <v>133</v>
      </c>
      <c r="M165" t="s">
        <v>282</v>
      </c>
      <c r="O165" t="s">
        <v>161</v>
      </c>
      <c r="S165" t="s">
        <v>607</v>
      </c>
      <c r="T165" t="s">
        <v>265</v>
      </c>
    </row>
    <row r="166" spans="1:20" x14ac:dyDescent="0.2">
      <c r="A166" t="s">
        <v>580</v>
      </c>
      <c r="B166" t="s">
        <v>581</v>
      </c>
      <c r="C166" t="s">
        <v>582</v>
      </c>
      <c r="D166" t="s">
        <v>61</v>
      </c>
      <c r="E166" t="s">
        <v>133</v>
      </c>
      <c r="F166" t="s">
        <v>606</v>
      </c>
      <c r="G166" t="s">
        <v>133</v>
      </c>
      <c r="H166" t="s">
        <v>133</v>
      </c>
      <c r="K166" t="s">
        <v>583</v>
      </c>
      <c r="M166" t="s">
        <v>282</v>
      </c>
      <c r="O166" t="s">
        <v>161</v>
      </c>
    </row>
    <row r="167" spans="1:20" x14ac:dyDescent="0.2">
      <c r="A167" t="s">
        <v>584</v>
      </c>
      <c r="B167" t="s">
        <v>585</v>
      </c>
      <c r="C167" t="s">
        <v>586</v>
      </c>
      <c r="D167" t="s">
        <v>35</v>
      </c>
      <c r="E167" t="s">
        <v>133</v>
      </c>
      <c r="F167" t="s">
        <v>606</v>
      </c>
      <c r="G167" t="s">
        <v>133</v>
      </c>
      <c r="H167" t="s">
        <v>133</v>
      </c>
      <c r="M167" t="s">
        <v>282</v>
      </c>
      <c r="O167" t="s">
        <v>161</v>
      </c>
      <c r="S167" t="s">
        <v>607</v>
      </c>
      <c r="T167" t="s">
        <v>265</v>
      </c>
    </row>
    <row r="168" spans="1:20" x14ac:dyDescent="0.2">
      <c r="A168" t="s">
        <v>587</v>
      </c>
      <c r="B168" t="s">
        <v>588</v>
      </c>
      <c r="C168" t="s">
        <v>589</v>
      </c>
      <c r="D168" t="s">
        <v>35</v>
      </c>
      <c r="E168" t="s">
        <v>133</v>
      </c>
      <c r="F168" t="s">
        <v>606</v>
      </c>
      <c r="G168" t="s">
        <v>133</v>
      </c>
      <c r="H168" t="s">
        <v>133</v>
      </c>
      <c r="M168" t="s">
        <v>282</v>
      </c>
      <c r="O168" t="s">
        <v>161</v>
      </c>
      <c r="S168" t="s">
        <v>607</v>
      </c>
      <c r="T168" t="s">
        <v>265</v>
      </c>
    </row>
    <row r="169" spans="1:20" x14ac:dyDescent="0.2">
      <c r="A169" t="s">
        <v>611</v>
      </c>
      <c r="B169" t="s">
        <v>612</v>
      </c>
      <c r="C169" t="s">
        <v>613</v>
      </c>
      <c r="D169" t="s">
        <v>35</v>
      </c>
      <c r="E169" t="s">
        <v>133</v>
      </c>
      <c r="F169" t="s">
        <v>606</v>
      </c>
      <c r="G169" t="s">
        <v>133</v>
      </c>
      <c r="H169" t="s">
        <v>133</v>
      </c>
      <c r="M169" t="s">
        <v>282</v>
      </c>
      <c r="O169" t="s">
        <v>161</v>
      </c>
      <c r="S169" t="s">
        <v>607</v>
      </c>
      <c r="T169" t="s">
        <v>265</v>
      </c>
    </row>
    <row r="170" spans="1:20" x14ac:dyDescent="0.2">
      <c r="A170" t="s">
        <v>590</v>
      </c>
      <c r="B170" t="s">
        <v>591</v>
      </c>
      <c r="C170" t="s">
        <v>592</v>
      </c>
      <c r="D170" t="s">
        <v>35</v>
      </c>
      <c r="E170" t="s">
        <v>133</v>
      </c>
      <c r="F170" t="s">
        <v>606</v>
      </c>
      <c r="G170" t="s">
        <v>133</v>
      </c>
      <c r="M170" t="s">
        <v>137</v>
      </c>
      <c r="O170" t="s">
        <v>150</v>
      </c>
      <c r="S170" t="s">
        <v>607</v>
      </c>
      <c r="T170" t="s">
        <v>265</v>
      </c>
    </row>
    <row r="171" spans="1:20" x14ac:dyDescent="0.2">
      <c r="A171" t="s">
        <v>593</v>
      </c>
      <c r="B171" t="s">
        <v>594</v>
      </c>
      <c r="C171" t="s">
        <v>595</v>
      </c>
      <c r="D171" t="s">
        <v>35</v>
      </c>
      <c r="E171" t="s">
        <v>133</v>
      </c>
      <c r="F171" t="s">
        <v>606</v>
      </c>
      <c r="G171" t="s">
        <v>133</v>
      </c>
      <c r="M171" t="s">
        <v>137</v>
      </c>
      <c r="O171" t="s">
        <v>150</v>
      </c>
      <c r="S171" t="s">
        <v>607</v>
      </c>
      <c r="T171" t="s">
        <v>265</v>
      </c>
    </row>
    <row r="172" spans="1:20" x14ac:dyDescent="0.2">
      <c r="A172" t="s">
        <v>596</v>
      </c>
      <c r="B172" t="s">
        <v>597</v>
      </c>
      <c r="C172" t="s">
        <v>598</v>
      </c>
      <c r="D172" t="s">
        <v>35</v>
      </c>
      <c r="E172" t="s">
        <v>133</v>
      </c>
      <c r="F172" t="s">
        <v>606</v>
      </c>
      <c r="G172" t="s">
        <v>133</v>
      </c>
      <c r="M172" t="s">
        <v>137</v>
      </c>
      <c r="O172" t="s">
        <v>511</v>
      </c>
      <c r="Q172" t="s">
        <v>599</v>
      </c>
      <c r="S172" t="s">
        <v>607</v>
      </c>
      <c r="T172" t="s">
        <v>265</v>
      </c>
    </row>
    <row r="173" spans="1:20" x14ac:dyDescent="0.2">
      <c r="A173" t="s">
        <v>344</v>
      </c>
      <c r="B173" t="s">
        <v>345</v>
      </c>
      <c r="C173" t="s">
        <v>346</v>
      </c>
      <c r="D173" t="s">
        <v>35</v>
      </c>
      <c r="E173" t="s">
        <v>505</v>
      </c>
      <c r="F173" t="s">
        <v>606</v>
      </c>
      <c r="G173" t="s">
        <v>133</v>
      </c>
      <c r="H173" t="s">
        <v>133</v>
      </c>
      <c r="M173" t="s">
        <v>282</v>
      </c>
      <c r="O173" t="s">
        <v>161</v>
      </c>
      <c r="S173" t="s">
        <v>607</v>
      </c>
      <c r="T173" t="s">
        <v>265</v>
      </c>
    </row>
    <row r="174" spans="1:20" x14ac:dyDescent="0.2">
      <c r="A174" t="s">
        <v>600</v>
      </c>
      <c r="B174" t="s">
        <v>601</v>
      </c>
      <c r="C174" t="s">
        <v>602</v>
      </c>
      <c r="D174" t="s">
        <v>35</v>
      </c>
      <c r="E174" t="s">
        <v>133</v>
      </c>
      <c r="F174" t="s">
        <v>606</v>
      </c>
      <c r="H174" t="s">
        <v>133</v>
      </c>
      <c r="M174" t="s">
        <v>282</v>
      </c>
      <c r="O174" t="s">
        <v>161</v>
      </c>
      <c r="S174" t="s">
        <v>607</v>
      </c>
      <c r="T174" t="s">
        <v>265</v>
      </c>
    </row>
    <row r="175" spans="1:20" x14ac:dyDescent="0.2">
      <c r="A175" t="s">
        <v>603</v>
      </c>
      <c r="B175" t="s">
        <v>604</v>
      </c>
      <c r="C175" t="s">
        <v>605</v>
      </c>
      <c r="D175" t="s">
        <v>24</v>
      </c>
      <c r="E175" t="s">
        <v>133</v>
      </c>
      <c r="F175" t="s">
        <v>606</v>
      </c>
      <c r="H175" t="s">
        <v>133</v>
      </c>
      <c r="M175" t="s">
        <v>282</v>
      </c>
      <c r="O175" t="s">
        <v>161</v>
      </c>
      <c r="S175" t="s">
        <v>607</v>
      </c>
      <c r="T175" t="s">
        <v>265</v>
      </c>
    </row>
    <row r="176" spans="1:20" x14ac:dyDescent="0.2">
      <c r="A176" t="s">
        <v>507</v>
      </c>
      <c r="B176" t="s">
        <v>508</v>
      </c>
      <c r="C176" t="s">
        <v>509</v>
      </c>
      <c r="D176" t="s">
        <v>35</v>
      </c>
      <c r="E176" t="s">
        <v>505</v>
      </c>
      <c r="F176" t="s">
        <v>614</v>
      </c>
      <c r="G176" t="s">
        <v>496</v>
      </c>
      <c r="H176" t="s">
        <v>133</v>
      </c>
      <c r="O176" t="s">
        <v>511</v>
      </c>
      <c r="Q176" t="s">
        <v>512</v>
      </c>
      <c r="S176" t="s">
        <v>615</v>
      </c>
      <c r="T176" t="s">
        <v>265</v>
      </c>
    </row>
    <row r="177" spans="1:20" x14ac:dyDescent="0.2">
      <c r="A177" t="s">
        <v>507</v>
      </c>
      <c r="B177" t="s">
        <v>508</v>
      </c>
      <c r="C177" t="s">
        <v>509</v>
      </c>
      <c r="D177" t="s">
        <v>61</v>
      </c>
      <c r="E177" t="s">
        <v>255</v>
      </c>
      <c r="F177" t="s">
        <v>614</v>
      </c>
      <c r="G177" t="s">
        <v>496</v>
      </c>
      <c r="H177" t="s">
        <v>133</v>
      </c>
      <c r="K177" t="s">
        <v>513</v>
      </c>
      <c r="O177" t="s">
        <v>511</v>
      </c>
      <c r="Q177" t="s">
        <v>512</v>
      </c>
    </row>
    <row r="178" spans="1:20" x14ac:dyDescent="0.2">
      <c r="A178" t="s">
        <v>514</v>
      </c>
      <c r="B178" t="s">
        <v>515</v>
      </c>
      <c r="C178" t="s">
        <v>516</v>
      </c>
      <c r="D178" t="s">
        <v>61</v>
      </c>
      <c r="E178" t="s">
        <v>133</v>
      </c>
      <c r="F178" t="s">
        <v>614</v>
      </c>
      <c r="G178" t="s">
        <v>133</v>
      </c>
      <c r="K178" t="s">
        <v>616</v>
      </c>
      <c r="M178" t="s">
        <v>137</v>
      </c>
      <c r="O178" t="s">
        <v>161</v>
      </c>
    </row>
    <row r="179" spans="1:20" x14ac:dyDescent="0.2">
      <c r="A179" t="s">
        <v>617</v>
      </c>
      <c r="B179" t="s">
        <v>618</v>
      </c>
      <c r="C179" t="s">
        <v>616</v>
      </c>
      <c r="D179" t="s">
        <v>61</v>
      </c>
      <c r="E179" t="s">
        <v>133</v>
      </c>
      <c r="F179" t="s">
        <v>614</v>
      </c>
      <c r="G179" t="s">
        <v>133</v>
      </c>
      <c r="K179" t="s">
        <v>619</v>
      </c>
      <c r="M179" t="s">
        <v>137</v>
      </c>
      <c r="O179" t="s">
        <v>161</v>
      </c>
    </row>
    <row r="180" spans="1:20" x14ac:dyDescent="0.2">
      <c r="A180" t="s">
        <v>518</v>
      </c>
      <c r="B180" t="s">
        <v>519</v>
      </c>
      <c r="C180" t="s">
        <v>520</v>
      </c>
      <c r="D180" t="s">
        <v>35</v>
      </c>
      <c r="E180" t="s">
        <v>133</v>
      </c>
      <c r="F180" t="s">
        <v>614</v>
      </c>
      <c r="G180" t="s">
        <v>220</v>
      </c>
      <c r="M180" t="s">
        <v>137</v>
      </c>
      <c r="O180" t="s">
        <v>161</v>
      </c>
      <c r="S180" t="s">
        <v>615</v>
      </c>
      <c r="T180" t="s">
        <v>265</v>
      </c>
    </row>
    <row r="181" spans="1:20" x14ac:dyDescent="0.2">
      <c r="A181" t="s">
        <v>620</v>
      </c>
      <c r="B181" t="s">
        <v>621</v>
      </c>
      <c r="C181" t="s">
        <v>622</v>
      </c>
      <c r="D181" t="s">
        <v>61</v>
      </c>
      <c r="E181" t="s">
        <v>133</v>
      </c>
      <c r="F181" t="s">
        <v>623</v>
      </c>
      <c r="G181" t="s">
        <v>133</v>
      </c>
      <c r="K181" t="s">
        <v>517</v>
      </c>
      <c r="M181" t="s">
        <v>137</v>
      </c>
      <c r="O181" t="s">
        <v>161</v>
      </c>
    </row>
    <row r="182" spans="1:20" x14ac:dyDescent="0.2">
      <c r="A182" t="s">
        <v>624</v>
      </c>
      <c r="B182" t="s">
        <v>625</v>
      </c>
      <c r="C182" t="s">
        <v>626</v>
      </c>
      <c r="D182" t="s">
        <v>61</v>
      </c>
      <c r="E182" t="s">
        <v>133</v>
      </c>
      <c r="G182" t="s">
        <v>133</v>
      </c>
      <c r="K182" t="s">
        <v>627</v>
      </c>
      <c r="L182" t="s">
        <v>160</v>
      </c>
      <c r="M182" t="s">
        <v>137</v>
      </c>
      <c r="O182" t="s">
        <v>161</v>
      </c>
    </row>
    <row r="183" spans="1:20" x14ac:dyDescent="0.2">
      <c r="A183" t="s">
        <v>270</v>
      </c>
      <c r="B183" t="s">
        <v>271</v>
      </c>
      <c r="C183" t="s">
        <v>272</v>
      </c>
      <c r="D183" t="s">
        <v>35</v>
      </c>
      <c r="E183" t="s">
        <v>505</v>
      </c>
      <c r="F183" t="s">
        <v>614</v>
      </c>
      <c r="G183" t="s">
        <v>133</v>
      </c>
      <c r="H183" t="s">
        <v>133</v>
      </c>
      <c r="M183" t="s">
        <v>137</v>
      </c>
      <c r="O183" t="s">
        <v>161</v>
      </c>
      <c r="S183" t="s">
        <v>615</v>
      </c>
      <c r="T183" t="s">
        <v>265</v>
      </c>
    </row>
    <row r="184" spans="1:20" x14ac:dyDescent="0.2">
      <c r="A184" t="s">
        <v>524</v>
      </c>
      <c r="B184" t="s">
        <v>525</v>
      </c>
      <c r="C184" t="s">
        <v>526</v>
      </c>
      <c r="D184" t="s">
        <v>61</v>
      </c>
      <c r="E184" t="s">
        <v>133</v>
      </c>
      <c r="F184" t="s">
        <v>614</v>
      </c>
      <c r="G184" t="s">
        <v>133</v>
      </c>
      <c r="K184" t="s">
        <v>628</v>
      </c>
      <c r="M184" t="s">
        <v>137</v>
      </c>
      <c r="O184" t="s">
        <v>161</v>
      </c>
    </row>
    <row r="185" spans="1:20" x14ac:dyDescent="0.2">
      <c r="A185" t="s">
        <v>629</v>
      </c>
      <c r="B185" t="s">
        <v>630</v>
      </c>
      <c r="C185" t="s">
        <v>631</v>
      </c>
      <c r="D185" t="s">
        <v>61</v>
      </c>
      <c r="E185" t="s">
        <v>255</v>
      </c>
      <c r="F185" t="s">
        <v>133</v>
      </c>
      <c r="K185" t="s">
        <v>632</v>
      </c>
      <c r="M185" t="s">
        <v>137</v>
      </c>
      <c r="O185" t="s">
        <v>511</v>
      </c>
      <c r="Q185" t="s">
        <v>633</v>
      </c>
    </row>
    <row r="186" spans="1:20" x14ac:dyDescent="0.2">
      <c r="A186" t="s">
        <v>629</v>
      </c>
      <c r="B186" t="s">
        <v>630</v>
      </c>
      <c r="C186" t="s">
        <v>631</v>
      </c>
      <c r="D186" t="s">
        <v>35</v>
      </c>
      <c r="E186" t="s">
        <v>505</v>
      </c>
      <c r="F186" t="s">
        <v>133</v>
      </c>
      <c r="M186" t="s">
        <v>137</v>
      </c>
      <c r="O186" t="s">
        <v>511</v>
      </c>
      <c r="Q186" t="s">
        <v>633</v>
      </c>
      <c r="S186" t="s">
        <v>615</v>
      </c>
    </row>
    <row r="187" spans="1:20" x14ac:dyDescent="0.2">
      <c r="A187" t="s">
        <v>634</v>
      </c>
      <c r="B187" t="s">
        <v>635</v>
      </c>
      <c r="C187" t="s">
        <v>636</v>
      </c>
      <c r="D187" t="s">
        <v>61</v>
      </c>
      <c r="E187" t="s">
        <v>133</v>
      </c>
      <c r="F187" t="s">
        <v>614</v>
      </c>
      <c r="K187" t="s">
        <v>637</v>
      </c>
      <c r="L187" t="s">
        <v>160</v>
      </c>
      <c r="M187" t="s">
        <v>137</v>
      </c>
      <c r="O187" t="s">
        <v>511</v>
      </c>
      <c r="Q187" t="s">
        <v>633</v>
      </c>
      <c r="S187" t="s">
        <v>615</v>
      </c>
    </row>
    <row r="188" spans="1:20" x14ac:dyDescent="0.2">
      <c r="A188" t="s">
        <v>638</v>
      </c>
      <c r="B188" t="s">
        <v>639</v>
      </c>
      <c r="C188" t="s">
        <v>640</v>
      </c>
      <c r="D188" t="s">
        <v>61</v>
      </c>
      <c r="E188" t="s">
        <v>133</v>
      </c>
      <c r="F188" t="s">
        <v>623</v>
      </c>
      <c r="G188" t="s">
        <v>133</v>
      </c>
      <c r="K188" t="s">
        <v>530</v>
      </c>
      <c r="L188" t="s">
        <v>135</v>
      </c>
      <c r="M188" t="s">
        <v>137</v>
      </c>
      <c r="O188" t="s">
        <v>161</v>
      </c>
    </row>
    <row r="189" spans="1:20" x14ac:dyDescent="0.2">
      <c r="A189" t="s">
        <v>641</v>
      </c>
      <c r="B189" t="s">
        <v>642</v>
      </c>
      <c r="C189" t="s">
        <v>643</v>
      </c>
      <c r="D189" t="s">
        <v>61</v>
      </c>
      <c r="E189" t="s">
        <v>133</v>
      </c>
      <c r="G189" t="s">
        <v>133</v>
      </c>
      <c r="K189" t="s">
        <v>644</v>
      </c>
      <c r="L189" t="s">
        <v>160</v>
      </c>
      <c r="M189" t="s">
        <v>137</v>
      </c>
      <c r="O189" t="s">
        <v>161</v>
      </c>
    </row>
    <row r="190" spans="1:20" x14ac:dyDescent="0.2">
      <c r="A190" t="s">
        <v>283</v>
      </c>
      <c r="B190" t="s">
        <v>284</v>
      </c>
      <c r="C190" t="s">
        <v>285</v>
      </c>
      <c r="D190" t="s">
        <v>35</v>
      </c>
      <c r="E190" t="s">
        <v>505</v>
      </c>
      <c r="F190" t="s">
        <v>614</v>
      </c>
      <c r="G190" t="s">
        <v>133</v>
      </c>
      <c r="H190" t="s">
        <v>133</v>
      </c>
      <c r="M190" t="s">
        <v>282</v>
      </c>
      <c r="O190" t="s">
        <v>161</v>
      </c>
      <c r="S190" t="s">
        <v>615</v>
      </c>
      <c r="T190" t="s">
        <v>265</v>
      </c>
    </row>
    <row r="191" spans="1:20" x14ac:dyDescent="0.2">
      <c r="A191" t="s">
        <v>535</v>
      </c>
      <c r="B191" t="s">
        <v>536</v>
      </c>
      <c r="C191" t="s">
        <v>537</v>
      </c>
      <c r="D191" t="s">
        <v>35</v>
      </c>
      <c r="E191" t="s">
        <v>133</v>
      </c>
      <c r="F191" t="s">
        <v>133</v>
      </c>
      <c r="G191" t="s">
        <v>133</v>
      </c>
      <c r="H191" t="s">
        <v>133</v>
      </c>
      <c r="M191" t="s">
        <v>282</v>
      </c>
      <c r="O191" t="s">
        <v>161</v>
      </c>
      <c r="S191" t="s">
        <v>615</v>
      </c>
      <c r="T191" t="s">
        <v>265</v>
      </c>
    </row>
    <row r="192" spans="1:20" x14ac:dyDescent="0.2">
      <c r="A192" t="s">
        <v>539</v>
      </c>
      <c r="B192" t="s">
        <v>540</v>
      </c>
      <c r="C192" t="s">
        <v>541</v>
      </c>
      <c r="D192" t="s">
        <v>35</v>
      </c>
      <c r="E192" t="s">
        <v>133</v>
      </c>
      <c r="F192" t="s">
        <v>614</v>
      </c>
      <c r="G192" t="s">
        <v>133</v>
      </c>
      <c r="H192" t="s">
        <v>133</v>
      </c>
      <c r="M192" t="s">
        <v>282</v>
      </c>
      <c r="O192" t="s">
        <v>161</v>
      </c>
      <c r="S192" t="s">
        <v>538</v>
      </c>
      <c r="T192" t="s">
        <v>265</v>
      </c>
    </row>
    <row r="193" spans="1:20" x14ac:dyDescent="0.2">
      <c r="A193" t="s">
        <v>63</v>
      </c>
      <c r="B193" t="s">
        <v>64</v>
      </c>
      <c r="C193" t="s">
        <v>65</v>
      </c>
      <c r="D193" t="s">
        <v>24</v>
      </c>
      <c r="E193" t="s">
        <v>133</v>
      </c>
      <c r="F193" t="s">
        <v>614</v>
      </c>
      <c r="G193" t="s">
        <v>133</v>
      </c>
      <c r="H193" t="s">
        <v>133</v>
      </c>
      <c r="M193" t="s">
        <v>282</v>
      </c>
      <c r="O193" t="s">
        <v>161</v>
      </c>
      <c r="S193" t="s">
        <v>538</v>
      </c>
      <c r="T193" t="s">
        <v>265</v>
      </c>
    </row>
    <row r="194" spans="1:20" x14ac:dyDescent="0.2">
      <c r="A194" t="s">
        <v>645</v>
      </c>
      <c r="B194" t="s">
        <v>646</v>
      </c>
      <c r="C194" t="s">
        <v>647</v>
      </c>
      <c r="D194" t="s">
        <v>35</v>
      </c>
      <c r="E194" t="s">
        <v>133</v>
      </c>
      <c r="F194" t="s">
        <v>648</v>
      </c>
      <c r="G194" t="s">
        <v>133</v>
      </c>
      <c r="H194" t="s">
        <v>133</v>
      </c>
      <c r="M194" t="s">
        <v>137</v>
      </c>
      <c r="O194" t="s">
        <v>161</v>
      </c>
      <c r="S194" t="s">
        <v>538</v>
      </c>
      <c r="T194" t="s">
        <v>265</v>
      </c>
    </row>
    <row r="195" spans="1:20" x14ac:dyDescent="0.2">
      <c r="A195" t="s">
        <v>32</v>
      </c>
      <c r="B195" t="s">
        <v>33</v>
      </c>
      <c r="C195" t="s">
        <v>34</v>
      </c>
      <c r="D195" t="s">
        <v>35</v>
      </c>
      <c r="E195" t="s">
        <v>133</v>
      </c>
      <c r="F195" t="s">
        <v>133</v>
      </c>
      <c r="G195" t="s">
        <v>133</v>
      </c>
      <c r="H195" t="s">
        <v>133</v>
      </c>
      <c r="M195" t="s">
        <v>137</v>
      </c>
      <c r="O195" t="s">
        <v>161</v>
      </c>
      <c r="S195" t="s">
        <v>538</v>
      </c>
      <c r="T195" t="s">
        <v>265</v>
      </c>
    </row>
    <row r="196" spans="1:20" x14ac:dyDescent="0.2">
      <c r="A196" t="s">
        <v>299</v>
      </c>
      <c r="B196" t="s">
        <v>300</v>
      </c>
      <c r="C196" t="s">
        <v>301</v>
      </c>
      <c r="D196" t="s">
        <v>35</v>
      </c>
      <c r="E196" t="s">
        <v>505</v>
      </c>
      <c r="F196" t="s">
        <v>614</v>
      </c>
      <c r="G196" t="s">
        <v>133</v>
      </c>
      <c r="H196" t="s">
        <v>133</v>
      </c>
      <c r="M196" t="s">
        <v>137</v>
      </c>
      <c r="O196" t="s">
        <v>161</v>
      </c>
      <c r="S196" t="s">
        <v>615</v>
      </c>
      <c r="T196" t="s">
        <v>265</v>
      </c>
    </row>
    <row r="197" spans="1:20" x14ac:dyDescent="0.2">
      <c r="A197" t="s">
        <v>550</v>
      </c>
      <c r="B197" t="s">
        <v>551</v>
      </c>
      <c r="C197" t="s">
        <v>552</v>
      </c>
      <c r="D197" t="s">
        <v>35</v>
      </c>
      <c r="E197" t="s">
        <v>133</v>
      </c>
      <c r="F197" t="s">
        <v>614</v>
      </c>
      <c r="G197" t="s">
        <v>133</v>
      </c>
      <c r="H197" t="s">
        <v>133</v>
      </c>
      <c r="M197" t="s">
        <v>282</v>
      </c>
      <c r="O197" t="s">
        <v>161</v>
      </c>
      <c r="S197" t="s">
        <v>538</v>
      </c>
      <c r="T197" t="s">
        <v>265</v>
      </c>
    </row>
    <row r="198" spans="1:20" x14ac:dyDescent="0.2">
      <c r="A198" t="s">
        <v>553</v>
      </c>
      <c r="B198" t="s">
        <v>554</v>
      </c>
      <c r="C198" t="s">
        <v>555</v>
      </c>
      <c r="D198" t="s">
        <v>35</v>
      </c>
      <c r="E198" t="s">
        <v>133</v>
      </c>
      <c r="F198" t="s">
        <v>614</v>
      </c>
      <c r="G198" t="s">
        <v>133</v>
      </c>
      <c r="H198" t="s">
        <v>133</v>
      </c>
      <c r="M198" t="s">
        <v>282</v>
      </c>
      <c r="O198" t="s">
        <v>161</v>
      </c>
      <c r="S198" t="s">
        <v>538</v>
      </c>
      <c r="T198" t="s">
        <v>265</v>
      </c>
    </row>
    <row r="199" spans="1:20" x14ac:dyDescent="0.2">
      <c r="A199" t="s">
        <v>556</v>
      </c>
      <c r="B199" t="s">
        <v>557</v>
      </c>
      <c r="C199" t="s">
        <v>558</v>
      </c>
      <c r="D199" t="s">
        <v>35</v>
      </c>
      <c r="E199" t="s">
        <v>133</v>
      </c>
      <c r="F199" t="s">
        <v>614</v>
      </c>
      <c r="G199" t="s">
        <v>133</v>
      </c>
      <c r="H199" t="s">
        <v>133</v>
      </c>
      <c r="M199" t="s">
        <v>282</v>
      </c>
      <c r="O199" t="s">
        <v>161</v>
      </c>
      <c r="S199" t="s">
        <v>538</v>
      </c>
      <c r="T199" t="s">
        <v>265</v>
      </c>
    </row>
    <row r="200" spans="1:20" x14ac:dyDescent="0.2">
      <c r="A200" t="s">
        <v>559</v>
      </c>
      <c r="B200" t="s">
        <v>560</v>
      </c>
      <c r="C200" t="s">
        <v>561</v>
      </c>
      <c r="D200" t="s">
        <v>35</v>
      </c>
      <c r="E200" t="s">
        <v>133</v>
      </c>
      <c r="F200" t="s">
        <v>649</v>
      </c>
      <c r="G200" t="s">
        <v>133</v>
      </c>
      <c r="H200" t="s">
        <v>133</v>
      </c>
      <c r="M200" t="s">
        <v>282</v>
      </c>
      <c r="O200" t="s">
        <v>161</v>
      </c>
      <c r="S200" t="s">
        <v>538</v>
      </c>
      <c r="T200" t="s">
        <v>265</v>
      </c>
    </row>
    <row r="201" spans="1:20" x14ac:dyDescent="0.2">
      <c r="A201" t="s">
        <v>315</v>
      </c>
      <c r="B201" t="s">
        <v>316</v>
      </c>
      <c r="C201" t="s">
        <v>317</v>
      </c>
      <c r="D201" t="s">
        <v>35</v>
      </c>
      <c r="E201" t="s">
        <v>505</v>
      </c>
      <c r="F201" t="s">
        <v>614</v>
      </c>
      <c r="G201" t="s">
        <v>133</v>
      </c>
      <c r="H201" t="s">
        <v>133</v>
      </c>
      <c r="M201" t="s">
        <v>282</v>
      </c>
      <c r="O201" t="s">
        <v>161</v>
      </c>
      <c r="S201" t="s">
        <v>615</v>
      </c>
      <c r="T201" t="s">
        <v>265</v>
      </c>
    </row>
    <row r="202" spans="1:20" x14ac:dyDescent="0.2">
      <c r="A202" t="s">
        <v>562</v>
      </c>
      <c r="B202" t="s">
        <v>563</v>
      </c>
      <c r="C202" t="s">
        <v>564</v>
      </c>
      <c r="D202" t="s">
        <v>61</v>
      </c>
      <c r="E202" t="s">
        <v>133</v>
      </c>
      <c r="F202" t="s">
        <v>614</v>
      </c>
      <c r="G202" t="s">
        <v>133</v>
      </c>
      <c r="K202" t="s">
        <v>650</v>
      </c>
      <c r="M202" t="s">
        <v>282</v>
      </c>
      <c r="O202" t="s">
        <v>161</v>
      </c>
    </row>
    <row r="203" spans="1:20" x14ac:dyDescent="0.2">
      <c r="A203" t="s">
        <v>651</v>
      </c>
      <c r="B203" t="s">
        <v>652</v>
      </c>
      <c r="C203" t="s">
        <v>653</v>
      </c>
      <c r="D203" t="s">
        <v>61</v>
      </c>
      <c r="E203" t="s">
        <v>133</v>
      </c>
      <c r="F203" t="s">
        <v>623</v>
      </c>
      <c r="G203" t="s">
        <v>133</v>
      </c>
      <c r="H203" t="s">
        <v>133</v>
      </c>
      <c r="K203" t="s">
        <v>568</v>
      </c>
      <c r="M203" t="s">
        <v>282</v>
      </c>
      <c r="O203" t="s">
        <v>161</v>
      </c>
    </row>
    <row r="204" spans="1:20" x14ac:dyDescent="0.2">
      <c r="A204" t="s">
        <v>654</v>
      </c>
      <c r="B204" t="s">
        <v>655</v>
      </c>
      <c r="C204" t="s">
        <v>656</v>
      </c>
      <c r="D204" t="s">
        <v>61</v>
      </c>
      <c r="E204" t="s">
        <v>133</v>
      </c>
      <c r="G204" t="s">
        <v>133</v>
      </c>
      <c r="K204" t="s">
        <v>657</v>
      </c>
      <c r="L204" t="s">
        <v>160</v>
      </c>
      <c r="M204" t="s">
        <v>282</v>
      </c>
      <c r="O204" t="s">
        <v>161</v>
      </c>
    </row>
    <row r="205" spans="1:20" x14ac:dyDescent="0.2">
      <c r="A205" t="s">
        <v>330</v>
      </c>
      <c r="B205" t="s">
        <v>331</v>
      </c>
      <c r="C205" t="s">
        <v>332</v>
      </c>
      <c r="D205" t="s">
        <v>35</v>
      </c>
      <c r="E205" t="s">
        <v>505</v>
      </c>
      <c r="F205" t="s">
        <v>614</v>
      </c>
      <c r="G205" t="s">
        <v>133</v>
      </c>
      <c r="H205" t="s">
        <v>133</v>
      </c>
      <c r="M205" t="s">
        <v>282</v>
      </c>
      <c r="O205" t="s">
        <v>161</v>
      </c>
      <c r="S205" t="s">
        <v>615</v>
      </c>
      <c r="T205" t="s">
        <v>265</v>
      </c>
    </row>
    <row r="206" spans="1:20" x14ac:dyDescent="0.2">
      <c r="A206" t="s">
        <v>569</v>
      </c>
      <c r="B206" t="s">
        <v>570</v>
      </c>
      <c r="C206" t="s">
        <v>571</v>
      </c>
      <c r="D206" t="s">
        <v>61</v>
      </c>
      <c r="E206" t="s">
        <v>133</v>
      </c>
      <c r="F206" t="s">
        <v>614</v>
      </c>
      <c r="G206" t="s">
        <v>133</v>
      </c>
      <c r="H206" t="s">
        <v>133</v>
      </c>
      <c r="K206" t="s">
        <v>572</v>
      </c>
      <c r="M206" t="s">
        <v>137</v>
      </c>
      <c r="N206" t="s">
        <v>573</v>
      </c>
      <c r="O206" t="s">
        <v>161</v>
      </c>
    </row>
    <row r="207" spans="1:20" x14ac:dyDescent="0.2">
      <c r="A207" t="s">
        <v>574</v>
      </c>
      <c r="B207" t="s">
        <v>575</v>
      </c>
      <c r="C207" t="s">
        <v>576</v>
      </c>
      <c r="D207" t="s">
        <v>35</v>
      </c>
      <c r="E207" t="s">
        <v>133</v>
      </c>
      <c r="F207" t="s">
        <v>614</v>
      </c>
      <c r="G207" t="s">
        <v>133</v>
      </c>
      <c r="H207" t="s">
        <v>133</v>
      </c>
      <c r="M207" t="s">
        <v>137</v>
      </c>
      <c r="O207" t="s">
        <v>161</v>
      </c>
      <c r="S207" t="s">
        <v>615</v>
      </c>
      <c r="T207" t="s">
        <v>265</v>
      </c>
    </row>
    <row r="208" spans="1:20" x14ac:dyDescent="0.2">
      <c r="A208" t="s">
        <v>577</v>
      </c>
      <c r="B208" t="s">
        <v>578</v>
      </c>
      <c r="C208" t="s">
        <v>579</v>
      </c>
      <c r="D208" t="s">
        <v>35</v>
      </c>
      <c r="E208" t="s">
        <v>133</v>
      </c>
      <c r="F208" t="s">
        <v>614</v>
      </c>
      <c r="G208" t="s">
        <v>133</v>
      </c>
      <c r="H208" t="s">
        <v>133</v>
      </c>
      <c r="M208" t="s">
        <v>137</v>
      </c>
      <c r="O208" t="s">
        <v>161</v>
      </c>
      <c r="S208" t="s">
        <v>615</v>
      </c>
      <c r="T208" t="s">
        <v>265</v>
      </c>
    </row>
    <row r="209" spans="1:20" x14ac:dyDescent="0.2">
      <c r="A209" t="s">
        <v>608</v>
      </c>
      <c r="B209" t="s">
        <v>609</v>
      </c>
      <c r="C209" t="s">
        <v>610</v>
      </c>
      <c r="D209" t="s">
        <v>35</v>
      </c>
      <c r="E209" t="s">
        <v>133</v>
      </c>
      <c r="F209" t="s">
        <v>614</v>
      </c>
      <c r="G209" t="s">
        <v>133</v>
      </c>
      <c r="H209" t="s">
        <v>133</v>
      </c>
      <c r="M209" t="s">
        <v>137</v>
      </c>
      <c r="O209" t="s">
        <v>161</v>
      </c>
      <c r="S209" t="s">
        <v>615</v>
      </c>
      <c r="T209" t="s">
        <v>265</v>
      </c>
    </row>
    <row r="210" spans="1:20" x14ac:dyDescent="0.2">
      <c r="A210" t="s">
        <v>658</v>
      </c>
      <c r="B210" t="s">
        <v>659</v>
      </c>
      <c r="C210" t="s">
        <v>660</v>
      </c>
      <c r="D210" t="s">
        <v>35</v>
      </c>
      <c r="E210" t="s">
        <v>133</v>
      </c>
      <c r="F210" t="s">
        <v>614</v>
      </c>
      <c r="G210" t="s">
        <v>133</v>
      </c>
      <c r="H210" t="s">
        <v>133</v>
      </c>
      <c r="M210" t="s">
        <v>282</v>
      </c>
      <c r="O210" t="s">
        <v>161</v>
      </c>
      <c r="S210" t="s">
        <v>615</v>
      </c>
      <c r="T210" t="s">
        <v>265</v>
      </c>
    </row>
    <row r="211" spans="1:20" x14ac:dyDescent="0.2">
      <c r="A211" t="s">
        <v>661</v>
      </c>
      <c r="B211" t="s">
        <v>662</v>
      </c>
      <c r="C211" t="s">
        <v>663</v>
      </c>
      <c r="D211" t="s">
        <v>24</v>
      </c>
      <c r="E211" t="s">
        <v>133</v>
      </c>
      <c r="F211" t="s">
        <v>614</v>
      </c>
      <c r="G211" t="s">
        <v>133</v>
      </c>
      <c r="H211" t="s">
        <v>133</v>
      </c>
      <c r="M211" t="s">
        <v>282</v>
      </c>
      <c r="O211" t="s">
        <v>161</v>
      </c>
      <c r="S211" t="s">
        <v>615</v>
      </c>
      <c r="T211" t="s">
        <v>265</v>
      </c>
    </row>
    <row r="212" spans="1:20" x14ac:dyDescent="0.2">
      <c r="A212" t="s">
        <v>368</v>
      </c>
      <c r="B212" t="s">
        <v>369</v>
      </c>
      <c r="C212" t="s">
        <v>370</v>
      </c>
      <c r="D212" t="s">
        <v>35</v>
      </c>
      <c r="E212" t="s">
        <v>505</v>
      </c>
      <c r="F212" t="s">
        <v>614</v>
      </c>
      <c r="G212" t="s">
        <v>133</v>
      </c>
      <c r="H212" t="s">
        <v>133</v>
      </c>
      <c r="M212" t="s">
        <v>282</v>
      </c>
      <c r="O212" t="s">
        <v>161</v>
      </c>
      <c r="S212" t="s">
        <v>615</v>
      </c>
      <c r="T212" t="s">
        <v>265</v>
      </c>
    </row>
    <row r="213" spans="1:20" x14ac:dyDescent="0.2">
      <c r="A213" t="s">
        <v>580</v>
      </c>
      <c r="B213" t="s">
        <v>581</v>
      </c>
      <c r="C213" t="s">
        <v>582</v>
      </c>
      <c r="D213" t="s">
        <v>61</v>
      </c>
      <c r="E213" t="s">
        <v>133</v>
      </c>
      <c r="F213" t="s">
        <v>614</v>
      </c>
      <c r="G213" t="s">
        <v>133</v>
      </c>
      <c r="H213" t="s">
        <v>133</v>
      </c>
      <c r="K213" t="s">
        <v>664</v>
      </c>
      <c r="M213" t="s">
        <v>282</v>
      </c>
      <c r="O213" t="s">
        <v>161</v>
      </c>
    </row>
    <row r="214" spans="1:20" x14ac:dyDescent="0.2">
      <c r="A214" t="s">
        <v>584</v>
      </c>
      <c r="B214" t="s">
        <v>585</v>
      </c>
      <c r="C214" t="s">
        <v>586</v>
      </c>
      <c r="D214" t="s">
        <v>35</v>
      </c>
      <c r="E214" t="s">
        <v>133</v>
      </c>
      <c r="F214" t="s">
        <v>614</v>
      </c>
      <c r="G214" t="s">
        <v>133</v>
      </c>
      <c r="H214" t="s">
        <v>133</v>
      </c>
      <c r="M214" t="s">
        <v>282</v>
      </c>
      <c r="O214" t="s">
        <v>161</v>
      </c>
      <c r="S214" t="s">
        <v>615</v>
      </c>
      <c r="T214" t="s">
        <v>265</v>
      </c>
    </row>
    <row r="215" spans="1:20" x14ac:dyDescent="0.2">
      <c r="A215" t="s">
        <v>587</v>
      </c>
      <c r="B215" t="s">
        <v>588</v>
      </c>
      <c r="C215" t="s">
        <v>589</v>
      </c>
      <c r="D215" t="s">
        <v>35</v>
      </c>
      <c r="E215" t="s">
        <v>133</v>
      </c>
      <c r="F215" t="s">
        <v>614</v>
      </c>
      <c r="G215" t="s">
        <v>133</v>
      </c>
      <c r="H215" t="s">
        <v>133</v>
      </c>
      <c r="M215" t="s">
        <v>282</v>
      </c>
      <c r="O215" t="s">
        <v>161</v>
      </c>
      <c r="S215" t="s">
        <v>615</v>
      </c>
      <c r="T215" t="s">
        <v>265</v>
      </c>
    </row>
    <row r="216" spans="1:20" x14ac:dyDescent="0.2">
      <c r="A216" t="s">
        <v>611</v>
      </c>
      <c r="B216" t="s">
        <v>612</v>
      </c>
      <c r="C216" t="s">
        <v>613</v>
      </c>
      <c r="D216" t="s">
        <v>35</v>
      </c>
      <c r="E216" t="s">
        <v>133</v>
      </c>
      <c r="F216" t="s">
        <v>614</v>
      </c>
      <c r="G216" t="s">
        <v>133</v>
      </c>
      <c r="H216" t="s">
        <v>133</v>
      </c>
      <c r="M216" t="s">
        <v>282</v>
      </c>
      <c r="O216" t="s">
        <v>161</v>
      </c>
      <c r="S216" t="s">
        <v>615</v>
      </c>
      <c r="T216" t="s">
        <v>265</v>
      </c>
    </row>
    <row r="217" spans="1:20" x14ac:dyDescent="0.2">
      <c r="A217" t="s">
        <v>590</v>
      </c>
      <c r="B217" t="s">
        <v>591</v>
      </c>
      <c r="C217" t="s">
        <v>592</v>
      </c>
      <c r="D217" t="s">
        <v>35</v>
      </c>
      <c r="E217" t="s">
        <v>133</v>
      </c>
      <c r="F217" t="s">
        <v>614</v>
      </c>
      <c r="G217" t="s">
        <v>133</v>
      </c>
      <c r="M217" t="s">
        <v>137</v>
      </c>
      <c r="O217" t="s">
        <v>150</v>
      </c>
      <c r="S217" t="s">
        <v>615</v>
      </c>
      <c r="T217" t="s">
        <v>265</v>
      </c>
    </row>
    <row r="218" spans="1:20" x14ac:dyDescent="0.2">
      <c r="A218" t="s">
        <v>593</v>
      </c>
      <c r="B218" t="s">
        <v>594</v>
      </c>
      <c r="C218" t="s">
        <v>595</v>
      </c>
      <c r="D218" t="s">
        <v>35</v>
      </c>
      <c r="E218" t="s">
        <v>133</v>
      </c>
      <c r="F218" t="s">
        <v>665</v>
      </c>
      <c r="G218" t="s">
        <v>133</v>
      </c>
      <c r="M218" t="s">
        <v>137</v>
      </c>
      <c r="O218" t="s">
        <v>150</v>
      </c>
      <c r="S218" t="s">
        <v>615</v>
      </c>
      <c r="T218" t="s">
        <v>265</v>
      </c>
    </row>
    <row r="219" spans="1:20" x14ac:dyDescent="0.2">
      <c r="A219" t="s">
        <v>596</v>
      </c>
      <c r="B219" t="s">
        <v>597</v>
      </c>
      <c r="C219" t="s">
        <v>598</v>
      </c>
      <c r="D219" t="s">
        <v>35</v>
      </c>
      <c r="E219" t="s">
        <v>133</v>
      </c>
      <c r="F219" t="s">
        <v>614</v>
      </c>
      <c r="G219" t="s">
        <v>133</v>
      </c>
      <c r="M219" t="s">
        <v>137</v>
      </c>
      <c r="O219" t="s">
        <v>511</v>
      </c>
      <c r="Q219" t="s">
        <v>599</v>
      </c>
      <c r="S219" t="s">
        <v>615</v>
      </c>
      <c r="T219" t="s">
        <v>265</v>
      </c>
    </row>
    <row r="220" spans="1:20" x14ac:dyDescent="0.2">
      <c r="A220" t="s">
        <v>600</v>
      </c>
      <c r="B220" t="s">
        <v>601</v>
      </c>
      <c r="C220" t="s">
        <v>602</v>
      </c>
      <c r="D220" t="s">
        <v>35</v>
      </c>
      <c r="E220" t="s">
        <v>133</v>
      </c>
      <c r="F220" t="s">
        <v>614</v>
      </c>
      <c r="H220" t="s">
        <v>133</v>
      </c>
      <c r="M220" t="s">
        <v>282</v>
      </c>
      <c r="O220" t="s">
        <v>161</v>
      </c>
      <c r="S220" t="s">
        <v>615</v>
      </c>
      <c r="T220" t="s">
        <v>265</v>
      </c>
    </row>
    <row r="221" spans="1:20" x14ac:dyDescent="0.2">
      <c r="A221" t="s">
        <v>603</v>
      </c>
      <c r="B221" t="s">
        <v>604</v>
      </c>
      <c r="C221" t="s">
        <v>605</v>
      </c>
      <c r="D221" t="s">
        <v>24</v>
      </c>
      <c r="E221" t="s">
        <v>133</v>
      </c>
      <c r="F221" t="s">
        <v>614</v>
      </c>
      <c r="H221" t="s">
        <v>133</v>
      </c>
      <c r="M221" t="s">
        <v>282</v>
      </c>
      <c r="O221" t="s">
        <v>161</v>
      </c>
      <c r="S221" t="s">
        <v>615</v>
      </c>
      <c r="T221" t="s">
        <v>265</v>
      </c>
    </row>
    <row r="222" spans="1:20" x14ac:dyDescent="0.2">
      <c r="A222" t="s">
        <v>666</v>
      </c>
      <c r="B222" t="s">
        <v>667</v>
      </c>
      <c r="C222" t="s">
        <v>668</v>
      </c>
      <c r="D222" t="s">
        <v>61</v>
      </c>
      <c r="E222" t="s">
        <v>133</v>
      </c>
      <c r="G222" t="s">
        <v>133</v>
      </c>
      <c r="K222" t="s">
        <v>669</v>
      </c>
      <c r="L222" t="s">
        <v>160</v>
      </c>
      <c r="M222" t="s">
        <v>282</v>
      </c>
      <c r="O222" t="s">
        <v>161</v>
      </c>
    </row>
    <row r="223" spans="1:20" x14ac:dyDescent="0.2">
      <c r="A223" t="s">
        <v>670</v>
      </c>
      <c r="B223" t="s">
        <v>671</v>
      </c>
      <c r="C223" t="s">
        <v>672</v>
      </c>
      <c r="D223" t="s">
        <v>61</v>
      </c>
      <c r="E223" t="s">
        <v>133</v>
      </c>
      <c r="G223" t="s">
        <v>133</v>
      </c>
      <c r="K223" t="s">
        <v>673</v>
      </c>
      <c r="L223" t="s">
        <v>160</v>
      </c>
      <c r="M223" t="s">
        <v>282</v>
      </c>
      <c r="O223" t="s">
        <v>161</v>
      </c>
    </row>
    <row r="224" spans="1:20" x14ac:dyDescent="0.2">
      <c r="A224" t="s">
        <v>674</v>
      </c>
      <c r="B224" t="s">
        <v>675</v>
      </c>
      <c r="C224" t="s">
        <v>676</v>
      </c>
      <c r="D224" t="s">
        <v>61</v>
      </c>
      <c r="E224" t="s">
        <v>133</v>
      </c>
      <c r="G224" t="s">
        <v>133</v>
      </c>
      <c r="K224" t="s">
        <v>677</v>
      </c>
      <c r="M224" t="s">
        <v>282</v>
      </c>
      <c r="O224" t="s">
        <v>161</v>
      </c>
    </row>
    <row r="225" spans="1:20" x14ac:dyDescent="0.2">
      <c r="A225" t="s">
        <v>678</v>
      </c>
      <c r="B225" t="s">
        <v>679</v>
      </c>
      <c r="C225" t="s">
        <v>680</v>
      </c>
      <c r="D225" t="s">
        <v>61</v>
      </c>
      <c r="E225" t="s">
        <v>133</v>
      </c>
      <c r="F225" t="s">
        <v>133</v>
      </c>
      <c r="G225" t="s">
        <v>133</v>
      </c>
      <c r="K225" t="s">
        <v>681</v>
      </c>
      <c r="O225" t="s">
        <v>161</v>
      </c>
      <c r="T225" t="s">
        <v>265</v>
      </c>
    </row>
    <row r="226" spans="1:20" x14ac:dyDescent="0.2">
      <c r="A226" t="s">
        <v>682</v>
      </c>
      <c r="B226" t="s">
        <v>683</v>
      </c>
      <c r="C226" t="s">
        <v>684</v>
      </c>
      <c r="D226" t="s">
        <v>61</v>
      </c>
      <c r="E226" t="s">
        <v>133</v>
      </c>
      <c r="F226" t="s">
        <v>133</v>
      </c>
      <c r="G226" t="s">
        <v>133</v>
      </c>
      <c r="K226" t="s">
        <v>685</v>
      </c>
      <c r="O226" t="s">
        <v>161</v>
      </c>
      <c r="T226" t="s">
        <v>265</v>
      </c>
    </row>
    <row r="227" spans="1:20" x14ac:dyDescent="0.2">
      <c r="A227" t="s">
        <v>686</v>
      </c>
      <c r="B227" t="s">
        <v>687</v>
      </c>
      <c r="C227" t="s">
        <v>688</v>
      </c>
      <c r="D227" t="s">
        <v>61</v>
      </c>
      <c r="E227" t="s">
        <v>133</v>
      </c>
      <c r="F227" t="s">
        <v>133</v>
      </c>
      <c r="G227" t="s">
        <v>133</v>
      </c>
      <c r="K227" t="s">
        <v>689</v>
      </c>
      <c r="O227" t="s">
        <v>161</v>
      </c>
      <c r="T227" t="s">
        <v>265</v>
      </c>
    </row>
    <row r="228" spans="1:20" x14ac:dyDescent="0.2">
      <c r="A228" t="s">
        <v>690</v>
      </c>
      <c r="B228" t="s">
        <v>691</v>
      </c>
      <c r="C228" t="s">
        <v>692</v>
      </c>
      <c r="D228" t="s">
        <v>61</v>
      </c>
      <c r="E228" t="s">
        <v>133</v>
      </c>
      <c r="F228" t="s">
        <v>693</v>
      </c>
      <c r="G228" t="s">
        <v>133</v>
      </c>
      <c r="K228" t="s">
        <v>694</v>
      </c>
      <c r="L228" t="s">
        <v>160</v>
      </c>
      <c r="O228" t="s">
        <v>161</v>
      </c>
      <c r="T228" t="s">
        <v>265</v>
      </c>
    </row>
    <row r="229" spans="1:20" x14ac:dyDescent="0.2">
      <c r="A229" t="s">
        <v>695</v>
      </c>
      <c r="B229" t="s">
        <v>696</v>
      </c>
      <c r="C229" t="s">
        <v>697</v>
      </c>
      <c r="D229" t="s">
        <v>61</v>
      </c>
      <c r="E229" t="s">
        <v>133</v>
      </c>
      <c r="F229" t="s">
        <v>698</v>
      </c>
      <c r="G229" t="s">
        <v>133</v>
      </c>
      <c r="K229" t="s">
        <v>694</v>
      </c>
      <c r="L229" t="s">
        <v>160</v>
      </c>
      <c r="O229" t="s">
        <v>161</v>
      </c>
      <c r="T229" t="s">
        <v>265</v>
      </c>
    </row>
    <row r="230" spans="1:20" x14ac:dyDescent="0.2">
      <c r="A230" t="s">
        <v>699</v>
      </c>
      <c r="B230" t="s">
        <v>700</v>
      </c>
      <c r="C230" t="s">
        <v>701</v>
      </c>
      <c r="D230" t="s">
        <v>61</v>
      </c>
      <c r="E230" t="s">
        <v>133</v>
      </c>
      <c r="F230" t="s">
        <v>133</v>
      </c>
      <c r="G230" t="s">
        <v>133</v>
      </c>
      <c r="K230" t="s">
        <v>702</v>
      </c>
      <c r="N230">
        <v>2</v>
      </c>
      <c r="O230" t="s">
        <v>161</v>
      </c>
      <c r="P230" t="s">
        <v>238</v>
      </c>
      <c r="T230" t="s">
        <v>265</v>
      </c>
    </row>
    <row r="231" spans="1:20" x14ac:dyDescent="0.2">
      <c r="A231" t="s">
        <v>703</v>
      </c>
      <c r="B231" t="s">
        <v>704</v>
      </c>
      <c r="C231" t="s">
        <v>705</v>
      </c>
      <c r="D231" t="s">
        <v>61</v>
      </c>
      <c r="E231" t="s">
        <v>133</v>
      </c>
      <c r="F231" t="s">
        <v>133</v>
      </c>
      <c r="G231" t="s">
        <v>133</v>
      </c>
      <c r="K231" t="s">
        <v>706</v>
      </c>
      <c r="N231">
        <v>1</v>
      </c>
      <c r="O231" t="s">
        <v>161</v>
      </c>
      <c r="P231" t="s">
        <v>243</v>
      </c>
      <c r="T231" t="s">
        <v>265</v>
      </c>
    </row>
    <row r="232" spans="1:20" x14ac:dyDescent="0.2">
      <c r="A232" t="s">
        <v>707</v>
      </c>
      <c r="B232" t="s">
        <v>708</v>
      </c>
      <c r="C232" t="s">
        <v>709</v>
      </c>
      <c r="D232" t="s">
        <v>35</v>
      </c>
      <c r="E232" t="s">
        <v>133</v>
      </c>
      <c r="F232" t="s">
        <v>693</v>
      </c>
      <c r="G232" t="s">
        <v>710</v>
      </c>
      <c r="M232" t="s">
        <v>711</v>
      </c>
      <c r="O232" t="s">
        <v>161</v>
      </c>
      <c r="P232">
        <v>4101010</v>
      </c>
      <c r="S232" t="s">
        <v>712</v>
      </c>
      <c r="T232" t="s">
        <v>265</v>
      </c>
    </row>
    <row r="233" spans="1:20" x14ac:dyDescent="0.2">
      <c r="A233" t="s">
        <v>713</v>
      </c>
      <c r="B233" t="s">
        <v>714</v>
      </c>
      <c r="C233" t="s">
        <v>715</v>
      </c>
      <c r="D233" t="s">
        <v>61</v>
      </c>
      <c r="E233" t="s">
        <v>133</v>
      </c>
      <c r="F233" t="s">
        <v>133</v>
      </c>
      <c r="G233" t="s">
        <v>133</v>
      </c>
      <c r="K233" t="s">
        <v>716</v>
      </c>
      <c r="O233" t="s">
        <v>161</v>
      </c>
      <c r="T233" t="s">
        <v>265</v>
      </c>
    </row>
    <row r="234" spans="1:20" x14ac:dyDescent="0.2">
      <c r="A234" t="s">
        <v>717</v>
      </c>
      <c r="B234" t="s">
        <v>718</v>
      </c>
      <c r="C234" t="s">
        <v>719</v>
      </c>
      <c r="D234" t="s">
        <v>35</v>
      </c>
      <c r="E234" t="s">
        <v>133</v>
      </c>
      <c r="F234" t="s">
        <v>693</v>
      </c>
      <c r="G234" t="s">
        <v>710</v>
      </c>
      <c r="M234" t="s">
        <v>711</v>
      </c>
      <c r="O234" t="s">
        <v>161</v>
      </c>
      <c r="P234">
        <v>4101030</v>
      </c>
      <c r="S234" t="s">
        <v>712</v>
      </c>
      <c r="T234" t="s">
        <v>265</v>
      </c>
    </row>
    <row r="235" spans="1:20" x14ac:dyDescent="0.2">
      <c r="A235" t="s">
        <v>720</v>
      </c>
      <c r="B235" t="s">
        <v>721</v>
      </c>
      <c r="C235" t="s">
        <v>722</v>
      </c>
      <c r="D235" t="s">
        <v>35</v>
      </c>
      <c r="E235" t="s">
        <v>133</v>
      </c>
      <c r="F235" t="s">
        <v>693</v>
      </c>
      <c r="G235" t="s">
        <v>710</v>
      </c>
      <c r="M235" t="s">
        <v>711</v>
      </c>
      <c r="O235" t="s">
        <v>161</v>
      </c>
      <c r="P235">
        <v>4102001</v>
      </c>
      <c r="S235" t="s">
        <v>712</v>
      </c>
      <c r="T235" t="s">
        <v>265</v>
      </c>
    </row>
    <row r="236" spans="1:20" x14ac:dyDescent="0.2">
      <c r="A236" t="s">
        <v>723</v>
      </c>
      <c r="B236" t="s">
        <v>724</v>
      </c>
      <c r="C236" t="s">
        <v>725</v>
      </c>
      <c r="D236" t="s">
        <v>35</v>
      </c>
      <c r="E236" t="s">
        <v>133</v>
      </c>
      <c r="F236" t="s">
        <v>693</v>
      </c>
      <c r="G236" t="s">
        <v>710</v>
      </c>
      <c r="M236" t="s">
        <v>711</v>
      </c>
      <c r="O236" t="s">
        <v>161</v>
      </c>
      <c r="P236">
        <v>4102003</v>
      </c>
      <c r="S236" t="s">
        <v>712</v>
      </c>
      <c r="T236" t="s">
        <v>265</v>
      </c>
    </row>
    <row r="237" spans="1:20" x14ac:dyDescent="0.2">
      <c r="A237" t="s">
        <v>726</v>
      </c>
      <c r="B237" t="s">
        <v>727</v>
      </c>
      <c r="C237" t="s">
        <v>728</v>
      </c>
      <c r="D237" t="s">
        <v>35</v>
      </c>
      <c r="E237" t="s">
        <v>133</v>
      </c>
      <c r="F237" t="s">
        <v>693</v>
      </c>
      <c r="G237" t="s">
        <v>710</v>
      </c>
      <c r="M237" t="s">
        <v>711</v>
      </c>
      <c r="O237" t="s">
        <v>161</v>
      </c>
      <c r="P237" t="s">
        <v>729</v>
      </c>
      <c r="S237" t="s">
        <v>712</v>
      </c>
      <c r="T237" t="s">
        <v>265</v>
      </c>
    </row>
    <row r="238" spans="1:20" x14ac:dyDescent="0.2">
      <c r="A238" t="s">
        <v>730</v>
      </c>
      <c r="B238" t="s">
        <v>731</v>
      </c>
      <c r="C238" t="s">
        <v>732</v>
      </c>
      <c r="D238" t="s">
        <v>35</v>
      </c>
      <c r="E238" t="s">
        <v>133</v>
      </c>
      <c r="F238" t="s">
        <v>693</v>
      </c>
      <c r="G238" t="s">
        <v>710</v>
      </c>
      <c r="M238" t="s">
        <v>711</v>
      </c>
      <c r="O238" t="s">
        <v>161</v>
      </c>
      <c r="P238" t="s">
        <v>733</v>
      </c>
      <c r="S238" t="s">
        <v>712</v>
      </c>
      <c r="T238" t="s">
        <v>265</v>
      </c>
    </row>
    <row r="239" spans="1:20" x14ac:dyDescent="0.2">
      <c r="A239" t="s">
        <v>734</v>
      </c>
      <c r="B239" t="s">
        <v>735</v>
      </c>
      <c r="C239" t="s">
        <v>736</v>
      </c>
      <c r="D239" t="s">
        <v>61</v>
      </c>
      <c r="E239" t="s">
        <v>133</v>
      </c>
      <c r="F239" t="s">
        <v>133</v>
      </c>
      <c r="G239" t="s">
        <v>133</v>
      </c>
      <c r="K239" t="s">
        <v>737</v>
      </c>
      <c r="O239" t="s">
        <v>161</v>
      </c>
      <c r="T239" t="s">
        <v>265</v>
      </c>
    </row>
    <row r="240" spans="1:20" x14ac:dyDescent="0.2">
      <c r="A240" t="s">
        <v>738</v>
      </c>
      <c r="B240" t="s">
        <v>739</v>
      </c>
      <c r="C240" t="s">
        <v>740</v>
      </c>
      <c r="D240" t="s">
        <v>35</v>
      </c>
      <c r="E240" t="s">
        <v>133</v>
      </c>
      <c r="F240" t="s">
        <v>693</v>
      </c>
      <c r="G240" t="s">
        <v>710</v>
      </c>
      <c r="M240" t="s">
        <v>711</v>
      </c>
      <c r="O240" t="s">
        <v>161</v>
      </c>
      <c r="P240">
        <v>4105001</v>
      </c>
      <c r="S240" t="s">
        <v>712</v>
      </c>
      <c r="T240" t="s">
        <v>265</v>
      </c>
    </row>
    <row r="241" spans="1:20" x14ac:dyDescent="0.2">
      <c r="A241" t="s">
        <v>741</v>
      </c>
      <c r="B241" t="s">
        <v>742</v>
      </c>
      <c r="C241" t="s">
        <v>743</v>
      </c>
      <c r="D241" t="s">
        <v>35</v>
      </c>
      <c r="E241" t="s">
        <v>133</v>
      </c>
      <c r="F241" t="s">
        <v>693</v>
      </c>
      <c r="G241" t="s">
        <v>710</v>
      </c>
      <c r="M241" t="s">
        <v>711</v>
      </c>
      <c r="O241" t="s">
        <v>161</v>
      </c>
      <c r="P241">
        <v>4105004</v>
      </c>
      <c r="S241" t="s">
        <v>712</v>
      </c>
      <c r="T241" t="s">
        <v>265</v>
      </c>
    </row>
    <row r="242" spans="1:20" x14ac:dyDescent="0.2">
      <c r="A242" t="s">
        <v>744</v>
      </c>
      <c r="B242" t="s">
        <v>745</v>
      </c>
      <c r="C242" t="s">
        <v>746</v>
      </c>
      <c r="D242" t="s">
        <v>35</v>
      </c>
      <c r="E242" t="s">
        <v>133</v>
      </c>
      <c r="F242" t="s">
        <v>693</v>
      </c>
      <c r="G242" t="s">
        <v>710</v>
      </c>
      <c r="M242" t="s">
        <v>711</v>
      </c>
      <c r="O242" t="s">
        <v>161</v>
      </c>
      <c r="P242">
        <v>4105006</v>
      </c>
      <c r="S242" t="s">
        <v>712</v>
      </c>
      <c r="T242" t="s">
        <v>265</v>
      </c>
    </row>
    <row r="243" spans="1:20" x14ac:dyDescent="0.2">
      <c r="A243" t="s">
        <v>747</v>
      </c>
      <c r="B243" t="s">
        <v>748</v>
      </c>
      <c r="C243" t="s">
        <v>749</v>
      </c>
      <c r="D243" t="s">
        <v>61</v>
      </c>
      <c r="E243" t="s">
        <v>133</v>
      </c>
      <c r="F243" t="s">
        <v>133</v>
      </c>
      <c r="G243" t="s">
        <v>133</v>
      </c>
      <c r="K243" t="s">
        <v>750</v>
      </c>
      <c r="O243" t="s">
        <v>161</v>
      </c>
      <c r="T243" t="s">
        <v>265</v>
      </c>
    </row>
    <row r="244" spans="1:20" x14ac:dyDescent="0.2">
      <c r="A244" t="s">
        <v>751</v>
      </c>
      <c r="B244" t="s">
        <v>752</v>
      </c>
      <c r="C244" t="s">
        <v>753</v>
      </c>
      <c r="D244" t="s">
        <v>61</v>
      </c>
      <c r="E244" t="s">
        <v>133</v>
      </c>
      <c r="F244" t="s">
        <v>133</v>
      </c>
      <c r="G244" t="s">
        <v>133</v>
      </c>
      <c r="K244" t="s">
        <v>754</v>
      </c>
      <c r="O244" t="s">
        <v>161</v>
      </c>
      <c r="P244" t="s">
        <v>755</v>
      </c>
      <c r="T244" t="s">
        <v>265</v>
      </c>
    </row>
    <row r="245" spans="1:20" x14ac:dyDescent="0.2">
      <c r="A245" t="s">
        <v>756</v>
      </c>
      <c r="B245" t="s">
        <v>757</v>
      </c>
      <c r="C245" t="s">
        <v>758</v>
      </c>
      <c r="D245" t="s">
        <v>61</v>
      </c>
      <c r="E245" t="s">
        <v>133</v>
      </c>
      <c r="F245" t="s">
        <v>133</v>
      </c>
      <c r="G245" t="s">
        <v>133</v>
      </c>
      <c r="K245" t="s">
        <v>759</v>
      </c>
      <c r="O245" t="s">
        <v>511</v>
      </c>
      <c r="Q245" t="s">
        <v>759</v>
      </c>
      <c r="T245" t="s">
        <v>265</v>
      </c>
    </row>
    <row r="246" spans="1:20" x14ac:dyDescent="0.2">
      <c r="A246" t="s">
        <v>760</v>
      </c>
      <c r="B246" t="s">
        <v>761</v>
      </c>
      <c r="C246" t="s">
        <v>762</v>
      </c>
      <c r="D246" t="s">
        <v>61</v>
      </c>
      <c r="E246" t="s">
        <v>133</v>
      </c>
      <c r="F246" t="s">
        <v>693</v>
      </c>
      <c r="G246" t="s">
        <v>710</v>
      </c>
      <c r="K246" t="s">
        <v>763</v>
      </c>
      <c r="L246" t="s">
        <v>160</v>
      </c>
      <c r="O246" t="s">
        <v>161</v>
      </c>
      <c r="T246" t="s">
        <v>265</v>
      </c>
    </row>
    <row r="247" spans="1:20" x14ac:dyDescent="0.2">
      <c r="A247" t="s">
        <v>764</v>
      </c>
      <c r="B247" t="s">
        <v>765</v>
      </c>
      <c r="C247" t="s">
        <v>766</v>
      </c>
      <c r="D247" t="s">
        <v>61</v>
      </c>
      <c r="E247" t="s">
        <v>133</v>
      </c>
      <c r="G247" t="s">
        <v>133</v>
      </c>
      <c r="K247" t="s">
        <v>767</v>
      </c>
      <c r="L247" t="s">
        <v>160</v>
      </c>
      <c r="O247" t="s">
        <v>161</v>
      </c>
      <c r="T247" t="s">
        <v>265</v>
      </c>
    </row>
    <row r="248" spans="1:20" x14ac:dyDescent="0.2">
      <c r="A248" t="s">
        <v>768</v>
      </c>
      <c r="B248" t="s">
        <v>769</v>
      </c>
      <c r="C248" t="s">
        <v>770</v>
      </c>
      <c r="D248" t="s">
        <v>61</v>
      </c>
      <c r="E248" t="s">
        <v>505</v>
      </c>
      <c r="G248" t="s">
        <v>133</v>
      </c>
      <c r="K248" t="s">
        <v>771</v>
      </c>
      <c r="L248" t="s">
        <v>772</v>
      </c>
      <c r="O248" t="s">
        <v>161</v>
      </c>
      <c r="T248" t="s">
        <v>265</v>
      </c>
    </row>
    <row r="249" spans="1:20" x14ac:dyDescent="0.2">
      <c r="A249" t="s">
        <v>768</v>
      </c>
      <c r="B249" t="s">
        <v>769</v>
      </c>
      <c r="C249" t="s">
        <v>770</v>
      </c>
      <c r="D249" t="s">
        <v>61</v>
      </c>
      <c r="E249" t="s">
        <v>255</v>
      </c>
      <c r="G249" t="s">
        <v>133</v>
      </c>
      <c r="K249" t="s">
        <v>773</v>
      </c>
      <c r="O249" t="s">
        <v>161</v>
      </c>
      <c r="T249" t="s">
        <v>265</v>
      </c>
    </row>
    <row r="250" spans="1:20" x14ac:dyDescent="0.2">
      <c r="A250" t="s">
        <v>774</v>
      </c>
      <c r="B250" t="s">
        <v>775</v>
      </c>
      <c r="C250" t="s">
        <v>773</v>
      </c>
      <c r="D250" t="s">
        <v>35</v>
      </c>
      <c r="E250" t="s">
        <v>133</v>
      </c>
      <c r="G250" t="s">
        <v>710</v>
      </c>
      <c r="M250" t="s">
        <v>776</v>
      </c>
      <c r="O250" t="s">
        <v>161</v>
      </c>
      <c r="T250" t="s">
        <v>265</v>
      </c>
    </row>
    <row r="251" spans="1:20" x14ac:dyDescent="0.2">
      <c r="A251" t="s">
        <v>777</v>
      </c>
      <c r="B251" t="s">
        <v>778</v>
      </c>
      <c r="C251" t="s">
        <v>779</v>
      </c>
      <c r="D251" t="s">
        <v>61</v>
      </c>
      <c r="E251" t="s">
        <v>133</v>
      </c>
      <c r="G251" t="s">
        <v>133</v>
      </c>
      <c r="K251" t="s">
        <v>780</v>
      </c>
      <c r="O251" t="s">
        <v>161</v>
      </c>
      <c r="T251" t="s">
        <v>265</v>
      </c>
    </row>
    <row r="252" spans="1:20" x14ac:dyDescent="0.2">
      <c r="A252" t="s">
        <v>781</v>
      </c>
      <c r="B252" t="s">
        <v>782</v>
      </c>
      <c r="C252" t="s">
        <v>783</v>
      </c>
      <c r="D252" t="s">
        <v>35</v>
      </c>
      <c r="E252" t="s">
        <v>133</v>
      </c>
      <c r="G252" t="s">
        <v>710</v>
      </c>
      <c r="O252" t="s">
        <v>161</v>
      </c>
      <c r="S252" t="s">
        <v>712</v>
      </c>
      <c r="T252" t="s">
        <v>265</v>
      </c>
    </row>
    <row r="253" spans="1:20" x14ac:dyDescent="0.2">
      <c r="A253" t="s">
        <v>784</v>
      </c>
      <c r="B253" t="s">
        <v>785</v>
      </c>
      <c r="C253" t="s">
        <v>786</v>
      </c>
      <c r="D253" t="s">
        <v>61</v>
      </c>
      <c r="E253" t="s">
        <v>133</v>
      </c>
      <c r="G253" t="s">
        <v>133</v>
      </c>
      <c r="K253" t="s">
        <v>787</v>
      </c>
      <c r="O253" t="s">
        <v>161</v>
      </c>
      <c r="T253" t="s">
        <v>265</v>
      </c>
    </row>
    <row r="254" spans="1:20" x14ac:dyDescent="0.2">
      <c r="A254" t="s">
        <v>788</v>
      </c>
      <c r="B254" t="s">
        <v>789</v>
      </c>
      <c r="C254" t="s">
        <v>790</v>
      </c>
      <c r="D254" t="s">
        <v>24</v>
      </c>
      <c r="E254" t="s">
        <v>133</v>
      </c>
      <c r="G254" t="s">
        <v>710</v>
      </c>
      <c r="O254" t="s">
        <v>161</v>
      </c>
      <c r="S254" t="s">
        <v>712</v>
      </c>
      <c r="T254" t="s">
        <v>265</v>
      </c>
    </row>
    <row r="255" spans="1:20" x14ac:dyDescent="0.2">
      <c r="A255" t="s">
        <v>791</v>
      </c>
      <c r="B255" t="s">
        <v>792</v>
      </c>
      <c r="C255" t="s">
        <v>793</v>
      </c>
      <c r="D255" t="s">
        <v>24</v>
      </c>
      <c r="E255" t="s">
        <v>133</v>
      </c>
      <c r="G255" t="s">
        <v>710</v>
      </c>
      <c r="O255" t="s">
        <v>161</v>
      </c>
      <c r="S255" t="s">
        <v>712</v>
      </c>
      <c r="T255" t="s">
        <v>265</v>
      </c>
    </row>
    <row r="256" spans="1:20" x14ac:dyDescent="0.2">
      <c r="A256" t="s">
        <v>794</v>
      </c>
      <c r="B256" t="s">
        <v>795</v>
      </c>
      <c r="C256" t="s">
        <v>796</v>
      </c>
      <c r="D256" t="s">
        <v>24</v>
      </c>
      <c r="E256" t="s">
        <v>133</v>
      </c>
      <c r="G256" t="s">
        <v>710</v>
      </c>
      <c r="O256" t="s">
        <v>161</v>
      </c>
      <c r="S256" t="s">
        <v>712</v>
      </c>
      <c r="T256" t="s">
        <v>265</v>
      </c>
    </row>
    <row r="257" spans="1:20" x14ac:dyDescent="0.2">
      <c r="A257" t="s">
        <v>797</v>
      </c>
      <c r="B257" t="s">
        <v>798</v>
      </c>
      <c r="C257" t="s">
        <v>799</v>
      </c>
      <c r="D257" t="s">
        <v>24</v>
      </c>
      <c r="E257" t="s">
        <v>133</v>
      </c>
      <c r="G257" t="s">
        <v>710</v>
      </c>
      <c r="O257" t="s">
        <v>161</v>
      </c>
      <c r="S257" t="s">
        <v>712</v>
      </c>
      <c r="T257" t="s">
        <v>265</v>
      </c>
    </row>
    <row r="258" spans="1:20" x14ac:dyDescent="0.2">
      <c r="A258" t="s">
        <v>800</v>
      </c>
      <c r="B258" t="s">
        <v>801</v>
      </c>
      <c r="C258" t="s">
        <v>802</v>
      </c>
      <c r="D258" t="s">
        <v>61</v>
      </c>
      <c r="E258" t="s">
        <v>133</v>
      </c>
      <c r="G258" t="s">
        <v>133</v>
      </c>
      <c r="K258" t="s">
        <v>803</v>
      </c>
      <c r="O258" t="s">
        <v>161</v>
      </c>
      <c r="T258" t="s">
        <v>265</v>
      </c>
    </row>
    <row r="259" spans="1:20" x14ac:dyDescent="0.2">
      <c r="A259" t="s">
        <v>804</v>
      </c>
      <c r="B259" t="s">
        <v>805</v>
      </c>
      <c r="C259" t="s">
        <v>806</v>
      </c>
      <c r="D259" t="s">
        <v>61</v>
      </c>
      <c r="E259" t="s">
        <v>255</v>
      </c>
      <c r="G259" t="s">
        <v>133</v>
      </c>
      <c r="K259" t="s">
        <v>807</v>
      </c>
      <c r="O259" t="s">
        <v>161</v>
      </c>
      <c r="T259" t="s">
        <v>265</v>
      </c>
    </row>
    <row r="260" spans="1:20" x14ac:dyDescent="0.2">
      <c r="A260" t="s">
        <v>804</v>
      </c>
      <c r="B260" t="s">
        <v>805</v>
      </c>
      <c r="C260" t="s">
        <v>806</v>
      </c>
      <c r="D260" t="s">
        <v>35</v>
      </c>
      <c r="E260" t="s">
        <v>505</v>
      </c>
      <c r="G260" t="s">
        <v>133</v>
      </c>
      <c r="O260" t="s">
        <v>161</v>
      </c>
      <c r="S260" t="s">
        <v>712</v>
      </c>
      <c r="T260" t="s">
        <v>265</v>
      </c>
    </row>
    <row r="261" spans="1:20" x14ac:dyDescent="0.2">
      <c r="A261" t="s">
        <v>808</v>
      </c>
      <c r="B261" t="s">
        <v>809</v>
      </c>
      <c r="C261" t="s">
        <v>810</v>
      </c>
      <c r="D261" t="s">
        <v>35</v>
      </c>
      <c r="E261" t="s">
        <v>133</v>
      </c>
      <c r="G261" t="s">
        <v>710</v>
      </c>
      <c r="M261" t="s">
        <v>776</v>
      </c>
      <c r="O261" t="s">
        <v>161</v>
      </c>
      <c r="T261" t="s">
        <v>265</v>
      </c>
    </row>
    <row r="262" spans="1:20" x14ac:dyDescent="0.2">
      <c r="A262" t="s">
        <v>811</v>
      </c>
      <c r="B262" t="s">
        <v>812</v>
      </c>
      <c r="C262" t="s">
        <v>813</v>
      </c>
      <c r="D262" t="s">
        <v>61</v>
      </c>
      <c r="E262" t="s">
        <v>133</v>
      </c>
      <c r="G262" t="s">
        <v>133</v>
      </c>
      <c r="K262" t="s">
        <v>814</v>
      </c>
      <c r="O262" t="s">
        <v>161</v>
      </c>
      <c r="T262" t="s">
        <v>265</v>
      </c>
    </row>
    <row r="263" spans="1:20" x14ac:dyDescent="0.2">
      <c r="A263" t="s">
        <v>815</v>
      </c>
      <c r="B263" t="s">
        <v>816</v>
      </c>
      <c r="C263" t="s">
        <v>817</v>
      </c>
      <c r="D263" t="s">
        <v>61</v>
      </c>
      <c r="E263" t="s">
        <v>133</v>
      </c>
      <c r="G263" t="s">
        <v>818</v>
      </c>
      <c r="K263" t="s">
        <v>819</v>
      </c>
      <c r="O263" t="s">
        <v>161</v>
      </c>
      <c r="T263" t="s">
        <v>265</v>
      </c>
    </row>
    <row r="264" spans="1:20" x14ac:dyDescent="0.2">
      <c r="A264" t="s">
        <v>820</v>
      </c>
      <c r="B264" t="s">
        <v>821</v>
      </c>
      <c r="C264" t="s">
        <v>822</v>
      </c>
      <c r="D264" t="s">
        <v>61</v>
      </c>
      <c r="E264" t="s">
        <v>505</v>
      </c>
      <c r="G264" t="s">
        <v>818</v>
      </c>
      <c r="K264" t="s">
        <v>823</v>
      </c>
      <c r="L264" t="s">
        <v>772</v>
      </c>
      <c r="O264" t="s">
        <v>161</v>
      </c>
      <c r="T264" t="s">
        <v>265</v>
      </c>
    </row>
    <row r="265" spans="1:20" x14ac:dyDescent="0.2">
      <c r="A265" t="s">
        <v>820</v>
      </c>
      <c r="B265" t="s">
        <v>821</v>
      </c>
      <c r="C265" t="s">
        <v>822</v>
      </c>
      <c r="D265" t="s">
        <v>61</v>
      </c>
      <c r="E265" t="s">
        <v>255</v>
      </c>
      <c r="G265" t="s">
        <v>818</v>
      </c>
      <c r="K265" t="s">
        <v>824</v>
      </c>
      <c r="O265" t="s">
        <v>161</v>
      </c>
      <c r="T265" t="s">
        <v>265</v>
      </c>
    </row>
    <row r="266" spans="1:20" x14ac:dyDescent="0.2">
      <c r="A266" t="s">
        <v>825</v>
      </c>
      <c r="B266" t="s">
        <v>826</v>
      </c>
      <c r="C266" t="s">
        <v>824</v>
      </c>
      <c r="D266" t="s">
        <v>35</v>
      </c>
      <c r="E266" t="s">
        <v>133</v>
      </c>
      <c r="G266" t="s">
        <v>818</v>
      </c>
      <c r="M266" t="s">
        <v>776</v>
      </c>
      <c r="O266" t="s">
        <v>161</v>
      </c>
      <c r="T266" t="s">
        <v>265</v>
      </c>
    </row>
    <row r="267" spans="1:20" x14ac:dyDescent="0.2">
      <c r="A267" t="s">
        <v>827</v>
      </c>
      <c r="B267" t="s">
        <v>828</v>
      </c>
      <c r="C267" t="s">
        <v>829</v>
      </c>
      <c r="D267" t="s">
        <v>24</v>
      </c>
      <c r="E267" t="s">
        <v>133</v>
      </c>
      <c r="G267" t="s">
        <v>818</v>
      </c>
      <c r="O267" t="s">
        <v>161</v>
      </c>
      <c r="S267" t="s">
        <v>712</v>
      </c>
      <c r="T267" t="s">
        <v>265</v>
      </c>
    </row>
    <row r="268" spans="1:20" x14ac:dyDescent="0.2">
      <c r="A268" t="s">
        <v>830</v>
      </c>
      <c r="B268" t="s">
        <v>831</v>
      </c>
      <c r="C268" t="s">
        <v>832</v>
      </c>
      <c r="D268" t="s">
        <v>61</v>
      </c>
      <c r="E268" t="s">
        <v>133</v>
      </c>
      <c r="G268" t="s">
        <v>133</v>
      </c>
      <c r="K268" t="s">
        <v>669</v>
      </c>
      <c r="L268" t="s">
        <v>160</v>
      </c>
      <c r="O268" t="s">
        <v>161</v>
      </c>
      <c r="T268" t="s">
        <v>265</v>
      </c>
    </row>
    <row r="269" spans="1:20" x14ac:dyDescent="0.2">
      <c r="A269" t="s">
        <v>833</v>
      </c>
      <c r="B269" t="s">
        <v>834</v>
      </c>
      <c r="C269" t="s">
        <v>835</v>
      </c>
      <c r="D269" t="s">
        <v>61</v>
      </c>
      <c r="E269" t="s">
        <v>133</v>
      </c>
      <c r="G269" t="s">
        <v>133</v>
      </c>
      <c r="K269" t="s">
        <v>836</v>
      </c>
      <c r="O269" t="s">
        <v>161</v>
      </c>
      <c r="T269" t="s">
        <v>265</v>
      </c>
    </row>
    <row r="270" spans="1:20" x14ac:dyDescent="0.2">
      <c r="A270" t="s">
        <v>837</v>
      </c>
      <c r="B270" t="s">
        <v>838</v>
      </c>
      <c r="C270" t="s">
        <v>839</v>
      </c>
      <c r="D270" t="s">
        <v>35</v>
      </c>
      <c r="E270" t="s">
        <v>133</v>
      </c>
      <c r="G270" t="s">
        <v>818</v>
      </c>
      <c r="O270" t="s">
        <v>161</v>
      </c>
      <c r="S270" t="s">
        <v>712</v>
      </c>
      <c r="T270" t="s">
        <v>265</v>
      </c>
    </row>
    <row r="271" spans="1:20" x14ac:dyDescent="0.2">
      <c r="A271" t="s">
        <v>840</v>
      </c>
      <c r="B271" t="s">
        <v>841</v>
      </c>
      <c r="C271" t="s">
        <v>842</v>
      </c>
      <c r="D271" t="s">
        <v>24</v>
      </c>
      <c r="E271" t="s">
        <v>133</v>
      </c>
      <c r="G271" t="s">
        <v>818</v>
      </c>
      <c r="O271" t="s">
        <v>161</v>
      </c>
      <c r="S271" t="s">
        <v>712</v>
      </c>
      <c r="T271" t="s">
        <v>265</v>
      </c>
    </row>
    <row r="272" spans="1:20" x14ac:dyDescent="0.2">
      <c r="A272" t="s">
        <v>843</v>
      </c>
      <c r="B272" t="s">
        <v>844</v>
      </c>
      <c r="C272" t="s">
        <v>845</v>
      </c>
      <c r="D272" t="s">
        <v>61</v>
      </c>
      <c r="E272" t="s">
        <v>133</v>
      </c>
      <c r="G272" t="s">
        <v>133</v>
      </c>
      <c r="K272" t="s">
        <v>846</v>
      </c>
      <c r="L272" t="s">
        <v>847</v>
      </c>
      <c r="M272" t="s">
        <v>137</v>
      </c>
      <c r="O272" t="s">
        <v>511</v>
      </c>
      <c r="Q272" t="s">
        <v>848</v>
      </c>
      <c r="T272" t="s">
        <v>265</v>
      </c>
    </row>
    <row r="273" spans="1:20" x14ac:dyDescent="0.2">
      <c r="A273" t="s">
        <v>849</v>
      </c>
      <c r="B273" t="s">
        <v>850</v>
      </c>
      <c r="C273" t="s">
        <v>851</v>
      </c>
      <c r="D273" t="s">
        <v>61</v>
      </c>
      <c r="E273" t="s">
        <v>133</v>
      </c>
      <c r="G273" t="s">
        <v>133</v>
      </c>
      <c r="K273" t="s">
        <v>852</v>
      </c>
      <c r="L273" t="s">
        <v>853</v>
      </c>
      <c r="M273" t="s">
        <v>282</v>
      </c>
      <c r="O273" t="s">
        <v>161</v>
      </c>
      <c r="T273" t="s">
        <v>265</v>
      </c>
    </row>
    <row r="274" spans="1:20" x14ac:dyDescent="0.2">
      <c r="A274" t="s">
        <v>854</v>
      </c>
      <c r="B274" t="s">
        <v>855</v>
      </c>
      <c r="C274" t="s">
        <v>856</v>
      </c>
      <c r="D274" t="s">
        <v>61</v>
      </c>
      <c r="E274" t="s">
        <v>133</v>
      </c>
      <c r="G274" t="s">
        <v>133</v>
      </c>
      <c r="K274" t="s">
        <v>857</v>
      </c>
      <c r="M274" t="s">
        <v>282</v>
      </c>
      <c r="O274" t="s">
        <v>161</v>
      </c>
      <c r="T274" t="s">
        <v>265</v>
      </c>
    </row>
    <row r="275" spans="1:20" x14ac:dyDescent="0.2">
      <c r="A275" t="s">
        <v>858</v>
      </c>
      <c r="B275" t="s">
        <v>859</v>
      </c>
      <c r="C275" t="s">
        <v>860</v>
      </c>
      <c r="D275" t="s">
        <v>61</v>
      </c>
      <c r="E275" t="s">
        <v>133</v>
      </c>
      <c r="G275" t="s">
        <v>133</v>
      </c>
      <c r="K275" t="s">
        <v>861</v>
      </c>
      <c r="M275" t="s">
        <v>282</v>
      </c>
      <c r="O275" t="s">
        <v>161</v>
      </c>
      <c r="T275" t="s">
        <v>265</v>
      </c>
    </row>
    <row r="276" spans="1:20" x14ac:dyDescent="0.2">
      <c r="A276" t="s">
        <v>862</v>
      </c>
      <c r="B276" t="s">
        <v>863</v>
      </c>
      <c r="C276" t="s">
        <v>864</v>
      </c>
      <c r="D276" t="s">
        <v>35</v>
      </c>
      <c r="E276" t="s">
        <v>133</v>
      </c>
      <c r="G276" t="s">
        <v>818</v>
      </c>
      <c r="M276" t="s">
        <v>282</v>
      </c>
      <c r="O276" t="s">
        <v>161</v>
      </c>
      <c r="S276" t="s">
        <v>712</v>
      </c>
      <c r="T276" t="s">
        <v>265</v>
      </c>
    </row>
    <row r="277" spans="1:20" x14ac:dyDescent="0.2">
      <c r="A277" t="s">
        <v>865</v>
      </c>
      <c r="B277" t="s">
        <v>866</v>
      </c>
      <c r="C277" t="s">
        <v>867</v>
      </c>
      <c r="D277" t="s">
        <v>61</v>
      </c>
      <c r="E277" t="s">
        <v>133</v>
      </c>
      <c r="G277" t="s">
        <v>133</v>
      </c>
      <c r="K277" t="s">
        <v>868</v>
      </c>
      <c r="L277" t="s">
        <v>853</v>
      </c>
      <c r="O277" t="s">
        <v>161</v>
      </c>
      <c r="T277" t="s">
        <v>265</v>
      </c>
    </row>
    <row r="278" spans="1:20" x14ac:dyDescent="0.2">
      <c r="A278" t="s">
        <v>869</v>
      </c>
      <c r="B278" t="s">
        <v>870</v>
      </c>
      <c r="C278" t="s">
        <v>871</v>
      </c>
      <c r="D278" t="s">
        <v>61</v>
      </c>
      <c r="E278" t="s">
        <v>133</v>
      </c>
      <c r="G278" t="s">
        <v>133</v>
      </c>
      <c r="K278" t="s">
        <v>872</v>
      </c>
      <c r="O278" t="s">
        <v>161</v>
      </c>
      <c r="T278" t="s">
        <v>265</v>
      </c>
    </row>
    <row r="279" spans="1:20" x14ac:dyDescent="0.2">
      <c r="A279" t="s">
        <v>873</v>
      </c>
      <c r="B279" t="s">
        <v>874</v>
      </c>
      <c r="C279" t="s">
        <v>875</v>
      </c>
      <c r="D279" t="s">
        <v>35</v>
      </c>
      <c r="E279" t="s">
        <v>133</v>
      </c>
      <c r="G279" t="s">
        <v>818</v>
      </c>
      <c r="O279" t="s">
        <v>161</v>
      </c>
      <c r="S279" t="s">
        <v>712</v>
      </c>
      <c r="T279" t="s">
        <v>265</v>
      </c>
    </row>
    <row r="280" spans="1:20" x14ac:dyDescent="0.2">
      <c r="A280" t="s">
        <v>876</v>
      </c>
      <c r="B280" t="s">
        <v>877</v>
      </c>
      <c r="C280" t="s">
        <v>878</v>
      </c>
      <c r="D280" t="s">
        <v>24</v>
      </c>
      <c r="E280" t="s">
        <v>133</v>
      </c>
      <c r="G280" t="s">
        <v>879</v>
      </c>
      <c r="O280" t="s">
        <v>161</v>
      </c>
      <c r="S280" t="s">
        <v>712</v>
      </c>
      <c r="T280" t="s">
        <v>265</v>
      </c>
    </row>
    <row r="281" spans="1:20" x14ac:dyDescent="0.2">
      <c r="A281" t="s">
        <v>880</v>
      </c>
      <c r="B281" t="s">
        <v>881</v>
      </c>
      <c r="C281" t="s">
        <v>882</v>
      </c>
      <c r="D281" t="s">
        <v>61</v>
      </c>
      <c r="E281" t="s">
        <v>133</v>
      </c>
      <c r="F281" t="s">
        <v>693</v>
      </c>
      <c r="G281" t="s">
        <v>710</v>
      </c>
      <c r="K281" t="s">
        <v>883</v>
      </c>
      <c r="L281" t="s">
        <v>160</v>
      </c>
      <c r="O281" t="s">
        <v>161</v>
      </c>
      <c r="P281">
        <v>4513001</v>
      </c>
      <c r="T281" t="s">
        <v>265</v>
      </c>
    </row>
    <row r="282" spans="1:20" x14ac:dyDescent="0.2">
      <c r="A282" t="s">
        <v>884</v>
      </c>
      <c r="B282" t="s">
        <v>885</v>
      </c>
      <c r="C282" t="s">
        <v>886</v>
      </c>
      <c r="D282" t="s">
        <v>61</v>
      </c>
      <c r="E282" t="s">
        <v>133</v>
      </c>
      <c r="F282" t="s">
        <v>133</v>
      </c>
      <c r="G282" t="s">
        <v>133</v>
      </c>
      <c r="K282" t="s">
        <v>887</v>
      </c>
      <c r="O282" t="s">
        <v>161</v>
      </c>
      <c r="T282" t="s">
        <v>265</v>
      </c>
    </row>
    <row r="283" spans="1:20" x14ac:dyDescent="0.2">
      <c r="A283" t="s">
        <v>888</v>
      </c>
      <c r="B283" t="s">
        <v>889</v>
      </c>
      <c r="C283" t="s">
        <v>890</v>
      </c>
      <c r="D283" t="s">
        <v>24</v>
      </c>
      <c r="E283" t="s">
        <v>133</v>
      </c>
      <c r="F283" t="s">
        <v>693</v>
      </c>
      <c r="G283" t="s">
        <v>710</v>
      </c>
      <c r="O283" t="s">
        <v>161</v>
      </c>
      <c r="P283">
        <v>4513002</v>
      </c>
      <c r="S283" t="s">
        <v>712</v>
      </c>
      <c r="T283" t="s">
        <v>265</v>
      </c>
    </row>
    <row r="284" spans="1:20" x14ac:dyDescent="0.2">
      <c r="A284" t="s">
        <v>891</v>
      </c>
      <c r="B284" t="s">
        <v>892</v>
      </c>
      <c r="C284" t="s">
        <v>893</v>
      </c>
      <c r="D284" t="s">
        <v>24</v>
      </c>
      <c r="E284" t="s">
        <v>133</v>
      </c>
      <c r="F284" t="s">
        <v>693</v>
      </c>
      <c r="G284" t="s">
        <v>710</v>
      </c>
      <c r="O284" t="s">
        <v>161</v>
      </c>
      <c r="P284" t="s">
        <v>894</v>
      </c>
      <c r="S284" t="s">
        <v>712</v>
      </c>
      <c r="T284" t="s">
        <v>265</v>
      </c>
    </row>
    <row r="285" spans="1:20" x14ac:dyDescent="0.2">
      <c r="A285" t="s">
        <v>895</v>
      </c>
      <c r="B285" t="s">
        <v>896</v>
      </c>
      <c r="C285" t="s">
        <v>897</v>
      </c>
      <c r="D285" t="s">
        <v>24</v>
      </c>
      <c r="E285" t="s">
        <v>133</v>
      </c>
      <c r="F285" t="s">
        <v>693</v>
      </c>
      <c r="G285" t="s">
        <v>710</v>
      </c>
      <c r="O285" t="s">
        <v>161</v>
      </c>
      <c r="P285" t="s">
        <v>894</v>
      </c>
      <c r="S285" t="s">
        <v>712</v>
      </c>
      <c r="T285" t="s">
        <v>265</v>
      </c>
    </row>
    <row r="286" spans="1:20" x14ac:dyDescent="0.2">
      <c r="A286" t="s">
        <v>898</v>
      </c>
      <c r="B286" t="s">
        <v>899</v>
      </c>
      <c r="C286" t="s">
        <v>900</v>
      </c>
      <c r="D286" t="s">
        <v>35</v>
      </c>
      <c r="E286" t="s">
        <v>133</v>
      </c>
      <c r="F286" t="s">
        <v>693</v>
      </c>
      <c r="G286" t="s">
        <v>710</v>
      </c>
      <c r="O286" t="s">
        <v>161</v>
      </c>
      <c r="P286">
        <v>4503005</v>
      </c>
      <c r="S286" t="s">
        <v>712</v>
      </c>
      <c r="T286" t="s">
        <v>265</v>
      </c>
    </row>
    <row r="287" spans="1:20" x14ac:dyDescent="0.2">
      <c r="A287" t="s">
        <v>901</v>
      </c>
      <c r="B287" t="s">
        <v>902</v>
      </c>
      <c r="C287" t="s">
        <v>903</v>
      </c>
      <c r="D287" t="s">
        <v>24</v>
      </c>
      <c r="E287" t="s">
        <v>133</v>
      </c>
      <c r="F287" t="s">
        <v>693</v>
      </c>
      <c r="G287" t="s">
        <v>710</v>
      </c>
      <c r="O287" t="s">
        <v>161</v>
      </c>
      <c r="P287" t="s">
        <v>904</v>
      </c>
      <c r="S287" t="s">
        <v>712</v>
      </c>
      <c r="T287" t="s">
        <v>265</v>
      </c>
    </row>
    <row r="288" spans="1:20" x14ac:dyDescent="0.2">
      <c r="A288" t="s">
        <v>905</v>
      </c>
      <c r="B288" t="s">
        <v>906</v>
      </c>
      <c r="C288" t="s">
        <v>907</v>
      </c>
      <c r="D288" t="s">
        <v>35</v>
      </c>
      <c r="E288" t="s">
        <v>133</v>
      </c>
      <c r="F288" t="s">
        <v>693</v>
      </c>
      <c r="G288" t="s">
        <v>710</v>
      </c>
      <c r="O288" t="s">
        <v>161</v>
      </c>
      <c r="S288" t="s">
        <v>712</v>
      </c>
      <c r="T288" t="s">
        <v>265</v>
      </c>
    </row>
    <row r="289" spans="1:20" x14ac:dyDescent="0.2">
      <c r="A289" t="s">
        <v>908</v>
      </c>
      <c r="B289" t="s">
        <v>909</v>
      </c>
      <c r="C289" t="s">
        <v>910</v>
      </c>
      <c r="D289" t="s">
        <v>61</v>
      </c>
      <c r="E289" t="s">
        <v>133</v>
      </c>
      <c r="G289" t="s">
        <v>710</v>
      </c>
      <c r="K289" t="s">
        <v>911</v>
      </c>
      <c r="O289" t="s">
        <v>511</v>
      </c>
      <c r="Q289" t="s">
        <v>911</v>
      </c>
      <c r="T289" t="s">
        <v>265</v>
      </c>
    </row>
    <row r="290" spans="1:20" x14ac:dyDescent="0.2">
      <c r="A290" t="s">
        <v>912</v>
      </c>
      <c r="B290" t="s">
        <v>913</v>
      </c>
      <c r="C290" t="s">
        <v>914</v>
      </c>
      <c r="D290" t="s">
        <v>61</v>
      </c>
      <c r="E290" t="s">
        <v>133</v>
      </c>
      <c r="G290" t="s">
        <v>710</v>
      </c>
      <c r="K290" t="s">
        <v>915</v>
      </c>
      <c r="O290" t="s">
        <v>511</v>
      </c>
      <c r="Q290" t="s">
        <v>915</v>
      </c>
      <c r="T290" t="s">
        <v>265</v>
      </c>
    </row>
    <row r="291" spans="1:20" x14ac:dyDescent="0.2">
      <c r="A291" t="s">
        <v>916</v>
      </c>
      <c r="B291" t="s">
        <v>917</v>
      </c>
      <c r="C291" t="s">
        <v>918</v>
      </c>
      <c r="D291" t="s">
        <v>61</v>
      </c>
      <c r="E291" t="s">
        <v>133</v>
      </c>
      <c r="G291" t="s">
        <v>710</v>
      </c>
      <c r="K291" t="s">
        <v>919</v>
      </c>
      <c r="O291" t="s">
        <v>511</v>
      </c>
      <c r="Q291" t="s">
        <v>920</v>
      </c>
      <c r="T291" t="s">
        <v>265</v>
      </c>
    </row>
    <row r="292" spans="1:20" x14ac:dyDescent="0.2">
      <c r="A292" t="s">
        <v>921</v>
      </c>
      <c r="B292" t="s">
        <v>922</v>
      </c>
      <c r="C292" t="s">
        <v>923</v>
      </c>
      <c r="D292" t="s">
        <v>61</v>
      </c>
      <c r="E292" t="s">
        <v>133</v>
      </c>
      <c r="G292" t="s">
        <v>710</v>
      </c>
      <c r="K292" t="s">
        <v>924</v>
      </c>
      <c r="O292" t="s">
        <v>511</v>
      </c>
      <c r="Q292" t="s">
        <v>924</v>
      </c>
      <c r="T292" t="s">
        <v>265</v>
      </c>
    </row>
    <row r="293" spans="1:20" x14ac:dyDescent="0.2">
      <c r="A293" t="s">
        <v>925</v>
      </c>
      <c r="B293" t="s">
        <v>926</v>
      </c>
      <c r="C293" t="s">
        <v>927</v>
      </c>
      <c r="D293" t="s">
        <v>61</v>
      </c>
      <c r="E293" t="s">
        <v>133</v>
      </c>
      <c r="G293" t="s">
        <v>710</v>
      </c>
      <c r="K293" t="s">
        <v>928</v>
      </c>
      <c r="O293" t="s">
        <v>511</v>
      </c>
      <c r="Q293" t="s">
        <v>929</v>
      </c>
      <c r="T293" t="s">
        <v>265</v>
      </c>
    </row>
    <row r="294" spans="1:20" x14ac:dyDescent="0.2">
      <c r="A294" t="s">
        <v>930</v>
      </c>
      <c r="B294" t="s">
        <v>931</v>
      </c>
      <c r="C294" t="s">
        <v>932</v>
      </c>
      <c r="D294" t="s">
        <v>61</v>
      </c>
      <c r="E294" t="s">
        <v>133</v>
      </c>
      <c r="G294" t="s">
        <v>710</v>
      </c>
      <c r="K294" t="s">
        <v>933</v>
      </c>
      <c r="O294" t="s">
        <v>511</v>
      </c>
      <c r="Q294" t="s">
        <v>933</v>
      </c>
      <c r="T294" t="s">
        <v>265</v>
      </c>
    </row>
    <row r="295" spans="1:20" x14ac:dyDescent="0.2">
      <c r="A295" t="s">
        <v>934</v>
      </c>
      <c r="B295" t="s">
        <v>935</v>
      </c>
      <c r="C295" t="s">
        <v>936</v>
      </c>
      <c r="D295" t="s">
        <v>61</v>
      </c>
      <c r="E295" t="s">
        <v>133</v>
      </c>
      <c r="G295" t="s">
        <v>133</v>
      </c>
      <c r="K295" t="s">
        <v>937</v>
      </c>
      <c r="L295" t="s">
        <v>160</v>
      </c>
      <c r="O295" t="s">
        <v>161</v>
      </c>
      <c r="T295" t="s">
        <v>265</v>
      </c>
    </row>
    <row r="296" spans="1:20" x14ac:dyDescent="0.2">
      <c r="A296" t="s">
        <v>938</v>
      </c>
      <c r="B296" t="s">
        <v>939</v>
      </c>
      <c r="C296" t="s">
        <v>940</v>
      </c>
      <c r="D296" t="s">
        <v>61</v>
      </c>
      <c r="E296" t="s">
        <v>133</v>
      </c>
      <c r="G296" t="s">
        <v>133</v>
      </c>
      <c r="K296" t="s">
        <v>941</v>
      </c>
      <c r="L296" t="s">
        <v>160</v>
      </c>
      <c r="O296" t="s">
        <v>161</v>
      </c>
      <c r="T296" t="s">
        <v>265</v>
      </c>
    </row>
    <row r="297" spans="1:20" x14ac:dyDescent="0.2">
      <c r="A297" t="s">
        <v>942</v>
      </c>
      <c r="B297" t="s">
        <v>943</v>
      </c>
      <c r="C297" t="s">
        <v>944</v>
      </c>
      <c r="D297" t="s">
        <v>61</v>
      </c>
      <c r="E297" t="s">
        <v>133</v>
      </c>
      <c r="F297" t="s">
        <v>133</v>
      </c>
      <c r="G297" t="s">
        <v>133</v>
      </c>
      <c r="K297" t="s">
        <v>945</v>
      </c>
      <c r="O297" t="s">
        <v>161</v>
      </c>
      <c r="T297" t="s">
        <v>265</v>
      </c>
    </row>
    <row r="298" spans="1:20" x14ac:dyDescent="0.2">
      <c r="A298" t="s">
        <v>946</v>
      </c>
      <c r="B298" t="s">
        <v>947</v>
      </c>
      <c r="C298" t="s">
        <v>948</v>
      </c>
      <c r="D298" t="s">
        <v>24</v>
      </c>
      <c r="E298" t="s">
        <v>133</v>
      </c>
      <c r="F298" t="s">
        <v>698</v>
      </c>
      <c r="G298" t="s">
        <v>710</v>
      </c>
      <c r="O298" t="s">
        <v>161</v>
      </c>
      <c r="S298" t="s">
        <v>712</v>
      </c>
      <c r="T298" t="s">
        <v>265</v>
      </c>
    </row>
    <row r="299" spans="1:20" x14ac:dyDescent="0.2">
      <c r="A299" t="s">
        <v>949</v>
      </c>
      <c r="B299" t="s">
        <v>950</v>
      </c>
      <c r="C299" t="s">
        <v>951</v>
      </c>
      <c r="D299" t="s">
        <v>24</v>
      </c>
      <c r="E299" t="s">
        <v>133</v>
      </c>
      <c r="F299" t="s">
        <v>698</v>
      </c>
      <c r="G299" t="s">
        <v>710</v>
      </c>
      <c r="O299" t="s">
        <v>161</v>
      </c>
      <c r="S299" t="s">
        <v>712</v>
      </c>
      <c r="T299" t="s">
        <v>265</v>
      </c>
    </row>
    <row r="300" spans="1:20" x14ac:dyDescent="0.2">
      <c r="A300" t="s">
        <v>952</v>
      </c>
      <c r="B300" t="s">
        <v>953</v>
      </c>
      <c r="C300" t="s">
        <v>954</v>
      </c>
      <c r="D300" t="s">
        <v>24</v>
      </c>
      <c r="E300" t="s">
        <v>133</v>
      </c>
      <c r="F300" t="s">
        <v>698</v>
      </c>
      <c r="G300" t="s">
        <v>710</v>
      </c>
      <c r="O300" t="s">
        <v>161</v>
      </c>
      <c r="S300" t="s">
        <v>712</v>
      </c>
      <c r="T300" t="s">
        <v>265</v>
      </c>
    </row>
    <row r="301" spans="1:20" x14ac:dyDescent="0.2">
      <c r="A301" t="s">
        <v>955</v>
      </c>
      <c r="B301" t="s">
        <v>956</v>
      </c>
      <c r="C301" t="s">
        <v>957</v>
      </c>
      <c r="D301" t="s">
        <v>24</v>
      </c>
      <c r="E301" t="s">
        <v>133</v>
      </c>
      <c r="F301" t="s">
        <v>698</v>
      </c>
      <c r="G301" t="s">
        <v>710</v>
      </c>
      <c r="O301" t="s">
        <v>161</v>
      </c>
      <c r="S301" t="s">
        <v>712</v>
      </c>
      <c r="T301" t="s">
        <v>265</v>
      </c>
    </row>
    <row r="302" spans="1:20" x14ac:dyDescent="0.2">
      <c r="A302" t="s">
        <v>958</v>
      </c>
      <c r="B302" t="s">
        <v>959</v>
      </c>
      <c r="C302" t="s">
        <v>960</v>
      </c>
      <c r="D302" t="s">
        <v>61</v>
      </c>
      <c r="E302" t="s">
        <v>133</v>
      </c>
      <c r="F302" t="s">
        <v>133</v>
      </c>
      <c r="G302" t="s">
        <v>133</v>
      </c>
      <c r="K302" t="s">
        <v>961</v>
      </c>
      <c r="O302" t="s">
        <v>161</v>
      </c>
      <c r="T302" t="s">
        <v>265</v>
      </c>
    </row>
    <row r="303" spans="1:20" x14ac:dyDescent="0.2">
      <c r="A303" t="s">
        <v>962</v>
      </c>
      <c r="B303" t="s">
        <v>963</v>
      </c>
      <c r="C303" t="s">
        <v>964</v>
      </c>
      <c r="D303" t="s">
        <v>61</v>
      </c>
      <c r="E303" t="s">
        <v>133</v>
      </c>
      <c r="F303" t="s">
        <v>133</v>
      </c>
      <c r="G303" t="s">
        <v>133</v>
      </c>
      <c r="K303" t="s">
        <v>965</v>
      </c>
      <c r="O303" t="s">
        <v>161</v>
      </c>
      <c r="T303" t="s">
        <v>265</v>
      </c>
    </row>
    <row r="304" spans="1:20" x14ac:dyDescent="0.2">
      <c r="A304" t="s">
        <v>966</v>
      </c>
      <c r="B304" t="s">
        <v>967</v>
      </c>
      <c r="C304" t="s">
        <v>968</v>
      </c>
      <c r="D304" t="s">
        <v>24</v>
      </c>
      <c r="E304" t="s">
        <v>133</v>
      </c>
      <c r="F304" t="s">
        <v>698</v>
      </c>
      <c r="G304" t="s">
        <v>710</v>
      </c>
      <c r="O304" t="s">
        <v>161</v>
      </c>
      <c r="S304" t="s">
        <v>712</v>
      </c>
      <c r="T304" t="s">
        <v>265</v>
      </c>
    </row>
    <row r="305" spans="1:20" x14ac:dyDescent="0.2">
      <c r="A305" t="s">
        <v>969</v>
      </c>
      <c r="B305" t="s">
        <v>970</v>
      </c>
      <c r="C305" t="s">
        <v>971</v>
      </c>
      <c r="D305" t="s">
        <v>24</v>
      </c>
      <c r="E305" t="s">
        <v>133</v>
      </c>
      <c r="F305" t="s">
        <v>698</v>
      </c>
      <c r="G305" t="s">
        <v>710</v>
      </c>
      <c r="O305" t="s">
        <v>161</v>
      </c>
      <c r="S305" t="s">
        <v>712</v>
      </c>
      <c r="T305" t="s">
        <v>265</v>
      </c>
    </row>
    <row r="306" spans="1:20" x14ac:dyDescent="0.2">
      <c r="A306" t="s">
        <v>972</v>
      </c>
      <c r="B306" t="s">
        <v>973</v>
      </c>
      <c r="C306" t="s">
        <v>974</v>
      </c>
      <c r="D306" t="s">
        <v>24</v>
      </c>
      <c r="E306" t="s">
        <v>133</v>
      </c>
      <c r="F306" t="s">
        <v>698</v>
      </c>
      <c r="G306" t="s">
        <v>710</v>
      </c>
      <c r="O306" t="s">
        <v>161</v>
      </c>
      <c r="S306" t="s">
        <v>712</v>
      </c>
      <c r="T306" t="s">
        <v>265</v>
      </c>
    </row>
    <row r="307" spans="1:20" x14ac:dyDescent="0.2">
      <c r="A307" t="s">
        <v>975</v>
      </c>
      <c r="B307" t="s">
        <v>976</v>
      </c>
      <c r="C307" t="s">
        <v>977</v>
      </c>
      <c r="D307" t="s">
        <v>24</v>
      </c>
      <c r="E307" t="s">
        <v>133</v>
      </c>
      <c r="F307" t="s">
        <v>698</v>
      </c>
      <c r="G307" t="s">
        <v>710</v>
      </c>
      <c r="O307" t="s">
        <v>161</v>
      </c>
      <c r="S307" t="s">
        <v>712</v>
      </c>
      <c r="T307" t="s">
        <v>265</v>
      </c>
    </row>
    <row r="308" spans="1:20" x14ac:dyDescent="0.2">
      <c r="A308" t="s">
        <v>978</v>
      </c>
      <c r="B308" t="s">
        <v>979</v>
      </c>
      <c r="C308" t="s">
        <v>980</v>
      </c>
      <c r="D308" t="s">
        <v>61</v>
      </c>
      <c r="E308" t="s">
        <v>133</v>
      </c>
      <c r="F308" t="s">
        <v>133</v>
      </c>
      <c r="G308" t="s">
        <v>133</v>
      </c>
      <c r="K308" t="s">
        <v>981</v>
      </c>
      <c r="O308" t="s">
        <v>161</v>
      </c>
      <c r="T308" t="s">
        <v>265</v>
      </c>
    </row>
    <row r="309" spans="1:20" x14ac:dyDescent="0.2">
      <c r="A309" t="s">
        <v>982</v>
      </c>
      <c r="B309" t="s">
        <v>983</v>
      </c>
      <c r="C309" t="s">
        <v>984</v>
      </c>
      <c r="D309" t="s">
        <v>24</v>
      </c>
      <c r="E309" t="s">
        <v>133</v>
      </c>
      <c r="F309" t="s">
        <v>698</v>
      </c>
      <c r="G309" t="s">
        <v>710</v>
      </c>
      <c r="O309" t="s">
        <v>161</v>
      </c>
      <c r="S309" t="s">
        <v>712</v>
      </c>
      <c r="T309" t="s">
        <v>265</v>
      </c>
    </row>
    <row r="310" spans="1:20" x14ac:dyDescent="0.2">
      <c r="A310" t="s">
        <v>985</v>
      </c>
      <c r="B310" t="s">
        <v>986</v>
      </c>
      <c r="C310" t="s">
        <v>987</v>
      </c>
      <c r="D310" t="s">
        <v>24</v>
      </c>
      <c r="E310" t="s">
        <v>133</v>
      </c>
      <c r="F310" t="s">
        <v>698</v>
      </c>
      <c r="G310" t="s">
        <v>710</v>
      </c>
      <c r="O310" t="s">
        <v>161</v>
      </c>
      <c r="S310" t="s">
        <v>712</v>
      </c>
      <c r="T310" t="s">
        <v>265</v>
      </c>
    </row>
    <row r="311" spans="1:20" x14ac:dyDescent="0.2">
      <c r="A311" t="s">
        <v>988</v>
      </c>
      <c r="B311" t="s">
        <v>989</v>
      </c>
      <c r="C311" t="s">
        <v>990</v>
      </c>
      <c r="D311" t="s">
        <v>24</v>
      </c>
      <c r="E311" t="s">
        <v>133</v>
      </c>
      <c r="F311" t="s">
        <v>698</v>
      </c>
      <c r="G311" t="s">
        <v>710</v>
      </c>
      <c r="O311" t="s">
        <v>161</v>
      </c>
      <c r="S311" t="s">
        <v>712</v>
      </c>
      <c r="T311" t="s">
        <v>265</v>
      </c>
    </row>
    <row r="312" spans="1:20" x14ac:dyDescent="0.2">
      <c r="A312" t="s">
        <v>991</v>
      </c>
      <c r="B312" t="s">
        <v>992</v>
      </c>
      <c r="C312" t="s">
        <v>993</v>
      </c>
      <c r="D312" t="s">
        <v>24</v>
      </c>
      <c r="E312" t="s">
        <v>133</v>
      </c>
      <c r="F312" t="s">
        <v>698</v>
      </c>
      <c r="G312" t="s">
        <v>710</v>
      </c>
      <c r="O312" t="s">
        <v>161</v>
      </c>
      <c r="S312" t="s">
        <v>712</v>
      </c>
      <c r="T312" t="s">
        <v>265</v>
      </c>
    </row>
    <row r="313" spans="1:20" x14ac:dyDescent="0.2">
      <c r="A313" t="s">
        <v>994</v>
      </c>
      <c r="B313" t="s">
        <v>995</v>
      </c>
      <c r="C313" t="s">
        <v>996</v>
      </c>
      <c r="D313" t="s">
        <v>24</v>
      </c>
      <c r="E313" t="s">
        <v>133</v>
      </c>
      <c r="F313" t="s">
        <v>698</v>
      </c>
      <c r="G313" t="s">
        <v>710</v>
      </c>
      <c r="O313" t="s">
        <v>161</v>
      </c>
      <c r="S313" t="s">
        <v>712</v>
      </c>
      <c r="T313" t="s">
        <v>265</v>
      </c>
    </row>
    <row r="314" spans="1:20" x14ac:dyDescent="0.2">
      <c r="A314" t="s">
        <v>507</v>
      </c>
      <c r="B314" t="s">
        <v>508</v>
      </c>
      <c r="C314" t="s">
        <v>509</v>
      </c>
      <c r="D314" t="s">
        <v>35</v>
      </c>
      <c r="E314" t="s">
        <v>505</v>
      </c>
      <c r="F314" t="s">
        <v>997</v>
      </c>
      <c r="G314" t="s">
        <v>496</v>
      </c>
      <c r="H314" t="s">
        <v>133</v>
      </c>
      <c r="O314" t="s">
        <v>511</v>
      </c>
      <c r="Q314" t="s">
        <v>512</v>
      </c>
      <c r="S314" t="s">
        <v>998</v>
      </c>
      <c r="T314" t="s">
        <v>265</v>
      </c>
    </row>
    <row r="315" spans="1:20" x14ac:dyDescent="0.2">
      <c r="A315" t="s">
        <v>507</v>
      </c>
      <c r="B315" t="s">
        <v>508</v>
      </c>
      <c r="C315" t="s">
        <v>509</v>
      </c>
      <c r="D315" t="s">
        <v>61</v>
      </c>
      <c r="E315" t="s">
        <v>255</v>
      </c>
      <c r="F315" t="s">
        <v>997</v>
      </c>
      <c r="G315" t="s">
        <v>496</v>
      </c>
      <c r="H315" t="s">
        <v>133</v>
      </c>
      <c r="K315" t="s">
        <v>513</v>
      </c>
      <c r="O315" t="s">
        <v>511</v>
      </c>
      <c r="Q315" t="s">
        <v>512</v>
      </c>
    </row>
    <row r="316" spans="1:20" x14ac:dyDescent="0.2">
      <c r="A316" t="s">
        <v>514</v>
      </c>
      <c r="B316" t="s">
        <v>515</v>
      </c>
      <c r="C316" t="s">
        <v>516</v>
      </c>
      <c r="D316" t="s">
        <v>61</v>
      </c>
      <c r="E316" t="s">
        <v>133</v>
      </c>
      <c r="F316" t="s">
        <v>997</v>
      </c>
      <c r="G316" t="s">
        <v>133</v>
      </c>
      <c r="K316" t="s">
        <v>517</v>
      </c>
      <c r="M316" t="s">
        <v>137</v>
      </c>
      <c r="O316" t="s">
        <v>161</v>
      </c>
    </row>
    <row r="317" spans="1:20" x14ac:dyDescent="0.2">
      <c r="A317" t="s">
        <v>518</v>
      </c>
      <c r="B317" t="s">
        <v>519</v>
      </c>
      <c r="C317" t="s">
        <v>520</v>
      </c>
      <c r="D317" t="s">
        <v>35</v>
      </c>
      <c r="E317" t="s">
        <v>133</v>
      </c>
      <c r="F317" t="s">
        <v>997</v>
      </c>
      <c r="G317" t="s">
        <v>220</v>
      </c>
      <c r="M317" t="s">
        <v>137</v>
      </c>
      <c r="O317" t="s">
        <v>161</v>
      </c>
      <c r="S317" t="s">
        <v>998</v>
      </c>
      <c r="T317" t="s">
        <v>265</v>
      </c>
    </row>
    <row r="318" spans="1:20" x14ac:dyDescent="0.2">
      <c r="A318" t="s">
        <v>521</v>
      </c>
      <c r="B318" t="s">
        <v>522</v>
      </c>
      <c r="C318" t="s">
        <v>523</v>
      </c>
      <c r="D318" t="s">
        <v>35</v>
      </c>
      <c r="E318" t="s">
        <v>133</v>
      </c>
      <c r="F318" t="s">
        <v>997</v>
      </c>
      <c r="G318" t="s">
        <v>496</v>
      </c>
      <c r="M318" t="s">
        <v>137</v>
      </c>
      <c r="O318" t="s">
        <v>161</v>
      </c>
      <c r="S318" t="s">
        <v>998</v>
      </c>
      <c r="T318" t="s">
        <v>265</v>
      </c>
    </row>
    <row r="319" spans="1:20" x14ac:dyDescent="0.2">
      <c r="A319" t="s">
        <v>270</v>
      </c>
      <c r="B319" t="s">
        <v>271</v>
      </c>
      <c r="C319" t="s">
        <v>272</v>
      </c>
      <c r="D319" t="s">
        <v>35</v>
      </c>
      <c r="E319" t="s">
        <v>505</v>
      </c>
      <c r="F319" t="s">
        <v>997</v>
      </c>
      <c r="G319" t="s">
        <v>133</v>
      </c>
      <c r="H319" t="s">
        <v>133</v>
      </c>
      <c r="M319" t="s">
        <v>137</v>
      </c>
      <c r="O319" t="s">
        <v>161</v>
      </c>
      <c r="S319" t="s">
        <v>998</v>
      </c>
      <c r="T319" t="s">
        <v>265</v>
      </c>
    </row>
    <row r="320" spans="1:20" x14ac:dyDescent="0.2">
      <c r="A320" t="s">
        <v>524</v>
      </c>
      <c r="B320" t="s">
        <v>525</v>
      </c>
      <c r="C320" t="s">
        <v>526</v>
      </c>
      <c r="D320" t="s">
        <v>61</v>
      </c>
      <c r="E320" t="s">
        <v>133</v>
      </c>
      <c r="F320" t="s">
        <v>997</v>
      </c>
      <c r="G320" t="s">
        <v>133</v>
      </c>
      <c r="H320" t="s">
        <v>133</v>
      </c>
      <c r="K320" t="s">
        <v>527</v>
      </c>
      <c r="M320" t="s">
        <v>137</v>
      </c>
      <c r="O320" t="s">
        <v>161</v>
      </c>
    </row>
    <row r="321" spans="1:20" x14ac:dyDescent="0.2">
      <c r="A321" t="s">
        <v>528</v>
      </c>
      <c r="B321" t="s">
        <v>529</v>
      </c>
      <c r="C321" t="s">
        <v>530</v>
      </c>
      <c r="D321" t="s">
        <v>35</v>
      </c>
      <c r="E321" t="s">
        <v>505</v>
      </c>
      <c r="F321" t="s">
        <v>997</v>
      </c>
      <c r="G321" t="s">
        <v>133</v>
      </c>
      <c r="H321" t="s">
        <v>133</v>
      </c>
      <c r="M321" t="s">
        <v>137</v>
      </c>
      <c r="O321" t="s">
        <v>161</v>
      </c>
      <c r="S321" t="s">
        <v>998</v>
      </c>
      <c r="T321" t="s">
        <v>265</v>
      </c>
    </row>
    <row r="322" spans="1:20" x14ac:dyDescent="0.2">
      <c r="A322" t="s">
        <v>528</v>
      </c>
      <c r="B322" t="s">
        <v>529</v>
      </c>
      <c r="C322" t="s">
        <v>530</v>
      </c>
      <c r="D322" t="s">
        <v>61</v>
      </c>
      <c r="E322" t="s">
        <v>255</v>
      </c>
      <c r="F322" t="s">
        <v>997</v>
      </c>
      <c r="G322" t="s">
        <v>133</v>
      </c>
      <c r="H322" t="s">
        <v>133</v>
      </c>
      <c r="K322" t="s">
        <v>276</v>
      </c>
      <c r="M322" t="s">
        <v>137</v>
      </c>
      <c r="O322" t="s">
        <v>161</v>
      </c>
    </row>
    <row r="323" spans="1:20" x14ac:dyDescent="0.2">
      <c r="A323" t="s">
        <v>283</v>
      </c>
      <c r="B323" t="s">
        <v>284</v>
      </c>
      <c r="C323" t="s">
        <v>285</v>
      </c>
      <c r="D323" t="s">
        <v>35</v>
      </c>
      <c r="E323" t="s">
        <v>505</v>
      </c>
      <c r="F323" t="s">
        <v>997</v>
      </c>
      <c r="G323" t="s">
        <v>133</v>
      </c>
      <c r="H323" t="s">
        <v>133</v>
      </c>
      <c r="M323" t="s">
        <v>282</v>
      </c>
      <c r="O323" t="s">
        <v>161</v>
      </c>
      <c r="S323" t="s">
        <v>998</v>
      </c>
      <c r="T323" t="s">
        <v>265</v>
      </c>
    </row>
    <row r="324" spans="1:20" x14ac:dyDescent="0.2">
      <c r="A324" t="s">
        <v>535</v>
      </c>
      <c r="B324" t="s">
        <v>536</v>
      </c>
      <c r="C324" t="s">
        <v>537</v>
      </c>
      <c r="D324" t="s">
        <v>35</v>
      </c>
      <c r="E324" t="s">
        <v>133</v>
      </c>
      <c r="F324" t="s">
        <v>997</v>
      </c>
      <c r="G324" t="s">
        <v>133</v>
      </c>
      <c r="H324" t="s">
        <v>133</v>
      </c>
      <c r="M324" t="s">
        <v>282</v>
      </c>
      <c r="O324" t="s">
        <v>161</v>
      </c>
      <c r="S324" t="s">
        <v>998</v>
      </c>
      <c r="T324" t="s">
        <v>265</v>
      </c>
    </row>
    <row r="325" spans="1:20" x14ac:dyDescent="0.2">
      <c r="A325" t="s">
        <v>539</v>
      </c>
      <c r="B325" t="s">
        <v>540</v>
      </c>
      <c r="C325" t="s">
        <v>541</v>
      </c>
      <c r="D325" t="s">
        <v>35</v>
      </c>
      <c r="E325" t="s">
        <v>133</v>
      </c>
      <c r="F325" t="s">
        <v>997</v>
      </c>
      <c r="G325" t="s">
        <v>133</v>
      </c>
      <c r="H325" t="s">
        <v>133</v>
      </c>
      <c r="M325" t="s">
        <v>282</v>
      </c>
      <c r="O325" t="s">
        <v>161</v>
      </c>
      <c r="S325" t="s">
        <v>998</v>
      </c>
      <c r="T325" t="s">
        <v>265</v>
      </c>
    </row>
    <row r="326" spans="1:20" x14ac:dyDescent="0.2">
      <c r="A326" t="s">
        <v>63</v>
      </c>
      <c r="B326" t="s">
        <v>64</v>
      </c>
      <c r="C326" t="s">
        <v>65</v>
      </c>
      <c r="D326" t="s">
        <v>24</v>
      </c>
      <c r="E326" t="s">
        <v>133</v>
      </c>
      <c r="F326" t="s">
        <v>997</v>
      </c>
      <c r="G326" t="s">
        <v>133</v>
      </c>
      <c r="H326" t="s">
        <v>133</v>
      </c>
      <c r="M326" t="s">
        <v>282</v>
      </c>
      <c r="O326" t="s">
        <v>161</v>
      </c>
      <c r="S326" t="s">
        <v>998</v>
      </c>
      <c r="T326" t="s">
        <v>265</v>
      </c>
    </row>
    <row r="327" spans="1:20" x14ac:dyDescent="0.2">
      <c r="A327" t="s">
        <v>542</v>
      </c>
      <c r="B327" t="s">
        <v>543</v>
      </c>
      <c r="C327" t="s">
        <v>544</v>
      </c>
      <c r="D327" t="s">
        <v>35</v>
      </c>
      <c r="E327" t="s">
        <v>133</v>
      </c>
      <c r="F327" t="s">
        <v>997</v>
      </c>
      <c r="G327" t="s">
        <v>133</v>
      </c>
      <c r="H327" t="s">
        <v>133</v>
      </c>
      <c r="M327" t="s">
        <v>137</v>
      </c>
      <c r="O327" t="s">
        <v>161</v>
      </c>
      <c r="S327" t="s">
        <v>998</v>
      </c>
      <c r="T327" t="s">
        <v>265</v>
      </c>
    </row>
    <row r="328" spans="1:20" x14ac:dyDescent="0.2">
      <c r="A328" t="s">
        <v>299</v>
      </c>
      <c r="B328" t="s">
        <v>300</v>
      </c>
      <c r="C328" t="s">
        <v>301</v>
      </c>
      <c r="D328" t="s">
        <v>35</v>
      </c>
      <c r="E328" t="s">
        <v>505</v>
      </c>
      <c r="F328" t="s">
        <v>997</v>
      </c>
      <c r="G328" t="s">
        <v>133</v>
      </c>
      <c r="H328" t="s">
        <v>133</v>
      </c>
      <c r="M328" t="s">
        <v>137</v>
      </c>
      <c r="O328" t="s">
        <v>161</v>
      </c>
      <c r="S328" t="s">
        <v>998</v>
      </c>
      <c r="T328" t="s">
        <v>265</v>
      </c>
    </row>
    <row r="329" spans="1:20" x14ac:dyDescent="0.2">
      <c r="A329" t="s">
        <v>550</v>
      </c>
      <c r="B329" t="s">
        <v>551</v>
      </c>
      <c r="C329" t="s">
        <v>552</v>
      </c>
      <c r="D329" t="s">
        <v>35</v>
      </c>
      <c r="E329" t="s">
        <v>133</v>
      </c>
      <c r="F329" t="s">
        <v>997</v>
      </c>
      <c r="G329" t="s">
        <v>133</v>
      </c>
      <c r="H329" t="s">
        <v>133</v>
      </c>
      <c r="M329" t="s">
        <v>282</v>
      </c>
      <c r="O329" t="s">
        <v>161</v>
      </c>
      <c r="S329" t="s">
        <v>998</v>
      </c>
      <c r="T329" t="s">
        <v>265</v>
      </c>
    </row>
    <row r="330" spans="1:20" x14ac:dyDescent="0.2">
      <c r="A330" t="s">
        <v>553</v>
      </c>
      <c r="B330" t="s">
        <v>554</v>
      </c>
      <c r="C330" t="s">
        <v>555</v>
      </c>
      <c r="D330" t="s">
        <v>35</v>
      </c>
      <c r="E330" t="s">
        <v>133</v>
      </c>
      <c r="F330" t="s">
        <v>997</v>
      </c>
      <c r="G330" t="s">
        <v>133</v>
      </c>
      <c r="H330" t="s">
        <v>133</v>
      </c>
      <c r="M330" t="s">
        <v>282</v>
      </c>
      <c r="O330" t="s">
        <v>161</v>
      </c>
      <c r="S330" t="s">
        <v>998</v>
      </c>
      <c r="T330" t="s">
        <v>265</v>
      </c>
    </row>
    <row r="331" spans="1:20" x14ac:dyDescent="0.2">
      <c r="A331" t="s">
        <v>556</v>
      </c>
      <c r="B331" t="s">
        <v>557</v>
      </c>
      <c r="C331" t="s">
        <v>558</v>
      </c>
      <c r="D331" t="s">
        <v>35</v>
      </c>
      <c r="E331" t="s">
        <v>133</v>
      </c>
      <c r="F331" t="s">
        <v>997</v>
      </c>
      <c r="G331" t="s">
        <v>133</v>
      </c>
      <c r="H331" t="s">
        <v>133</v>
      </c>
      <c r="M331" t="s">
        <v>282</v>
      </c>
      <c r="O331" t="s">
        <v>161</v>
      </c>
      <c r="S331" t="s">
        <v>998</v>
      </c>
      <c r="T331" t="s">
        <v>265</v>
      </c>
    </row>
    <row r="332" spans="1:20" x14ac:dyDescent="0.2">
      <c r="A332" t="s">
        <v>559</v>
      </c>
      <c r="B332" t="s">
        <v>560</v>
      </c>
      <c r="C332" t="s">
        <v>561</v>
      </c>
      <c r="D332" t="s">
        <v>35</v>
      </c>
      <c r="E332" t="s">
        <v>133</v>
      </c>
      <c r="F332" t="s">
        <v>997</v>
      </c>
      <c r="G332" t="s">
        <v>133</v>
      </c>
      <c r="H332" t="s">
        <v>133</v>
      </c>
      <c r="M332" t="s">
        <v>282</v>
      </c>
      <c r="O332" t="s">
        <v>161</v>
      </c>
      <c r="S332" t="s">
        <v>998</v>
      </c>
      <c r="T332" t="s">
        <v>265</v>
      </c>
    </row>
    <row r="333" spans="1:20" x14ac:dyDescent="0.2">
      <c r="A333" t="s">
        <v>315</v>
      </c>
      <c r="B333" t="s">
        <v>316</v>
      </c>
      <c r="C333" t="s">
        <v>317</v>
      </c>
      <c r="D333" t="s">
        <v>35</v>
      </c>
      <c r="E333" t="s">
        <v>505</v>
      </c>
      <c r="F333" t="s">
        <v>997</v>
      </c>
      <c r="G333" t="s">
        <v>133</v>
      </c>
      <c r="H333" t="s">
        <v>133</v>
      </c>
      <c r="M333" t="s">
        <v>282</v>
      </c>
      <c r="O333" t="s">
        <v>161</v>
      </c>
      <c r="S333" t="s">
        <v>998</v>
      </c>
      <c r="T333" t="s">
        <v>265</v>
      </c>
    </row>
    <row r="334" spans="1:20" x14ac:dyDescent="0.2">
      <c r="A334" t="s">
        <v>562</v>
      </c>
      <c r="B334" t="s">
        <v>563</v>
      </c>
      <c r="C334" t="s">
        <v>564</v>
      </c>
      <c r="D334" t="s">
        <v>61</v>
      </c>
      <c r="E334" t="s">
        <v>133</v>
      </c>
      <c r="F334" t="s">
        <v>997</v>
      </c>
      <c r="G334" t="s">
        <v>133</v>
      </c>
      <c r="H334" t="s">
        <v>133</v>
      </c>
      <c r="K334" t="s">
        <v>565</v>
      </c>
      <c r="M334" t="s">
        <v>282</v>
      </c>
      <c r="O334" t="s">
        <v>161</v>
      </c>
    </row>
    <row r="335" spans="1:20" x14ac:dyDescent="0.2">
      <c r="A335" t="s">
        <v>566</v>
      </c>
      <c r="B335" t="s">
        <v>567</v>
      </c>
      <c r="C335" t="s">
        <v>568</v>
      </c>
      <c r="D335" t="s">
        <v>35</v>
      </c>
      <c r="E335" t="s">
        <v>505</v>
      </c>
      <c r="F335" t="s">
        <v>997</v>
      </c>
      <c r="G335" t="s">
        <v>133</v>
      </c>
      <c r="H335" t="s">
        <v>133</v>
      </c>
      <c r="M335" t="s">
        <v>282</v>
      </c>
      <c r="O335" t="s">
        <v>161</v>
      </c>
      <c r="S335" t="s">
        <v>998</v>
      </c>
      <c r="T335" t="s">
        <v>265</v>
      </c>
    </row>
    <row r="336" spans="1:20" x14ac:dyDescent="0.2">
      <c r="A336" t="s">
        <v>566</v>
      </c>
      <c r="B336" t="s">
        <v>567</v>
      </c>
      <c r="C336" t="s">
        <v>568</v>
      </c>
      <c r="D336" t="s">
        <v>61</v>
      </c>
      <c r="E336" t="s">
        <v>255</v>
      </c>
      <c r="F336" t="s">
        <v>997</v>
      </c>
      <c r="G336" t="s">
        <v>133</v>
      </c>
      <c r="H336" t="s">
        <v>133</v>
      </c>
      <c r="K336" t="s">
        <v>322</v>
      </c>
      <c r="M336" t="s">
        <v>282</v>
      </c>
      <c r="O336" t="s">
        <v>161</v>
      </c>
    </row>
    <row r="337" spans="1:20" x14ac:dyDescent="0.2">
      <c r="A337" t="s">
        <v>330</v>
      </c>
      <c r="B337" t="s">
        <v>331</v>
      </c>
      <c r="C337" t="s">
        <v>332</v>
      </c>
      <c r="D337" t="s">
        <v>35</v>
      </c>
      <c r="E337" t="s">
        <v>505</v>
      </c>
      <c r="F337" t="s">
        <v>997</v>
      </c>
      <c r="G337" t="s">
        <v>133</v>
      </c>
      <c r="H337" t="s">
        <v>133</v>
      </c>
      <c r="M337" t="s">
        <v>137</v>
      </c>
      <c r="O337" t="s">
        <v>161</v>
      </c>
      <c r="S337" t="s">
        <v>998</v>
      </c>
      <c r="T337" t="s">
        <v>265</v>
      </c>
    </row>
    <row r="338" spans="1:20" x14ac:dyDescent="0.2">
      <c r="A338" t="s">
        <v>569</v>
      </c>
      <c r="B338" t="s">
        <v>570</v>
      </c>
      <c r="C338" t="s">
        <v>571</v>
      </c>
      <c r="D338" t="s">
        <v>61</v>
      </c>
      <c r="E338" t="s">
        <v>133</v>
      </c>
      <c r="F338" t="s">
        <v>997</v>
      </c>
      <c r="G338" t="s">
        <v>133</v>
      </c>
      <c r="H338" t="s">
        <v>133</v>
      </c>
      <c r="K338" t="s">
        <v>572</v>
      </c>
      <c r="M338" t="s">
        <v>137</v>
      </c>
      <c r="N338" t="s">
        <v>573</v>
      </c>
      <c r="O338" t="s">
        <v>161</v>
      </c>
    </row>
    <row r="339" spans="1:20" x14ac:dyDescent="0.2">
      <c r="A339" t="s">
        <v>574</v>
      </c>
      <c r="B339" t="s">
        <v>575</v>
      </c>
      <c r="C339" t="s">
        <v>576</v>
      </c>
      <c r="D339" t="s">
        <v>35</v>
      </c>
      <c r="E339" t="s">
        <v>133</v>
      </c>
      <c r="F339" t="s">
        <v>997</v>
      </c>
      <c r="G339" t="s">
        <v>133</v>
      </c>
      <c r="H339" t="s">
        <v>133</v>
      </c>
      <c r="M339" t="s">
        <v>137</v>
      </c>
      <c r="O339" t="s">
        <v>161</v>
      </c>
      <c r="S339" t="s">
        <v>998</v>
      </c>
      <c r="T339" t="s">
        <v>265</v>
      </c>
    </row>
    <row r="340" spans="1:20" x14ac:dyDescent="0.2">
      <c r="A340" t="s">
        <v>577</v>
      </c>
      <c r="B340" t="s">
        <v>578</v>
      </c>
      <c r="C340" t="s">
        <v>579</v>
      </c>
      <c r="D340" t="s">
        <v>35</v>
      </c>
      <c r="E340" t="s">
        <v>133</v>
      </c>
      <c r="F340" t="s">
        <v>997</v>
      </c>
      <c r="G340" t="s">
        <v>133</v>
      </c>
      <c r="H340" t="s">
        <v>133</v>
      </c>
      <c r="M340" t="s">
        <v>137</v>
      </c>
      <c r="O340" t="s">
        <v>161</v>
      </c>
      <c r="S340" t="s">
        <v>998</v>
      </c>
      <c r="T340" t="s">
        <v>265</v>
      </c>
    </row>
    <row r="341" spans="1:20" x14ac:dyDescent="0.2">
      <c r="A341" t="s">
        <v>608</v>
      </c>
      <c r="B341" t="s">
        <v>609</v>
      </c>
      <c r="C341" t="s">
        <v>610</v>
      </c>
      <c r="D341" t="s">
        <v>35</v>
      </c>
      <c r="E341" t="s">
        <v>133</v>
      </c>
      <c r="F341" t="s">
        <v>997</v>
      </c>
      <c r="G341" t="s">
        <v>133</v>
      </c>
      <c r="H341" t="s">
        <v>133</v>
      </c>
      <c r="M341" t="s">
        <v>137</v>
      </c>
      <c r="O341" t="s">
        <v>161</v>
      </c>
      <c r="S341" t="s">
        <v>998</v>
      </c>
      <c r="T341" t="s">
        <v>265</v>
      </c>
    </row>
    <row r="342" spans="1:20" x14ac:dyDescent="0.2">
      <c r="A342" t="s">
        <v>368</v>
      </c>
      <c r="B342" t="s">
        <v>369</v>
      </c>
      <c r="C342" t="s">
        <v>370</v>
      </c>
      <c r="D342" t="s">
        <v>35</v>
      </c>
      <c r="E342" t="s">
        <v>505</v>
      </c>
      <c r="F342" t="s">
        <v>997</v>
      </c>
      <c r="G342" t="s">
        <v>133</v>
      </c>
      <c r="H342" t="s">
        <v>133</v>
      </c>
      <c r="M342" t="s">
        <v>282</v>
      </c>
      <c r="O342" t="s">
        <v>161</v>
      </c>
      <c r="S342" t="s">
        <v>998</v>
      </c>
      <c r="T342" t="s">
        <v>265</v>
      </c>
    </row>
    <row r="343" spans="1:20" x14ac:dyDescent="0.2">
      <c r="A343" t="s">
        <v>580</v>
      </c>
      <c r="B343" t="s">
        <v>581</v>
      </c>
      <c r="C343" t="s">
        <v>582</v>
      </c>
      <c r="D343" t="s">
        <v>61</v>
      </c>
      <c r="E343" t="s">
        <v>133</v>
      </c>
      <c r="F343" t="s">
        <v>997</v>
      </c>
      <c r="G343" t="s">
        <v>133</v>
      </c>
      <c r="H343" t="s">
        <v>133</v>
      </c>
      <c r="K343" t="s">
        <v>583</v>
      </c>
      <c r="M343" t="s">
        <v>282</v>
      </c>
      <c r="O343" t="s">
        <v>161</v>
      </c>
    </row>
    <row r="344" spans="1:20" x14ac:dyDescent="0.2">
      <c r="A344" t="s">
        <v>584</v>
      </c>
      <c r="B344" t="s">
        <v>585</v>
      </c>
      <c r="C344" t="s">
        <v>586</v>
      </c>
      <c r="D344" t="s">
        <v>35</v>
      </c>
      <c r="E344" t="s">
        <v>133</v>
      </c>
      <c r="F344" t="s">
        <v>997</v>
      </c>
      <c r="G344" t="s">
        <v>133</v>
      </c>
      <c r="H344" t="s">
        <v>133</v>
      </c>
      <c r="M344" t="s">
        <v>282</v>
      </c>
      <c r="O344" t="s">
        <v>161</v>
      </c>
      <c r="S344" t="s">
        <v>998</v>
      </c>
      <c r="T344" t="s">
        <v>265</v>
      </c>
    </row>
    <row r="345" spans="1:20" x14ac:dyDescent="0.2">
      <c r="A345" t="s">
        <v>587</v>
      </c>
      <c r="B345" t="s">
        <v>588</v>
      </c>
      <c r="C345" t="s">
        <v>589</v>
      </c>
      <c r="D345" t="s">
        <v>35</v>
      </c>
      <c r="E345" t="s">
        <v>133</v>
      </c>
      <c r="F345" t="s">
        <v>997</v>
      </c>
      <c r="G345" t="s">
        <v>133</v>
      </c>
      <c r="H345" t="s">
        <v>133</v>
      </c>
      <c r="M345" t="s">
        <v>282</v>
      </c>
      <c r="O345" t="s">
        <v>161</v>
      </c>
      <c r="S345" t="s">
        <v>998</v>
      </c>
      <c r="T345" t="s">
        <v>265</v>
      </c>
    </row>
    <row r="346" spans="1:20" x14ac:dyDescent="0.2">
      <c r="A346" t="s">
        <v>611</v>
      </c>
      <c r="B346" t="s">
        <v>612</v>
      </c>
      <c r="C346" t="s">
        <v>613</v>
      </c>
      <c r="D346" t="s">
        <v>35</v>
      </c>
      <c r="E346" t="s">
        <v>133</v>
      </c>
      <c r="F346" t="s">
        <v>997</v>
      </c>
      <c r="G346" t="s">
        <v>133</v>
      </c>
      <c r="H346" t="s">
        <v>133</v>
      </c>
      <c r="M346" t="s">
        <v>282</v>
      </c>
      <c r="O346" t="s">
        <v>161</v>
      </c>
      <c r="S346" t="s">
        <v>998</v>
      </c>
      <c r="T346" t="s">
        <v>265</v>
      </c>
    </row>
    <row r="347" spans="1:20" x14ac:dyDescent="0.2">
      <c r="A347" t="s">
        <v>590</v>
      </c>
      <c r="B347" t="s">
        <v>591</v>
      </c>
      <c r="C347" t="s">
        <v>592</v>
      </c>
      <c r="D347" t="s">
        <v>35</v>
      </c>
      <c r="E347" t="s">
        <v>133</v>
      </c>
      <c r="F347" t="s">
        <v>997</v>
      </c>
      <c r="G347" t="s">
        <v>133</v>
      </c>
      <c r="M347" t="s">
        <v>137</v>
      </c>
      <c r="O347" t="s">
        <v>150</v>
      </c>
      <c r="S347" t="s">
        <v>998</v>
      </c>
      <c r="T347" t="s">
        <v>265</v>
      </c>
    </row>
    <row r="348" spans="1:20" x14ac:dyDescent="0.2">
      <c r="A348" t="s">
        <v>593</v>
      </c>
      <c r="B348" t="s">
        <v>594</v>
      </c>
      <c r="C348" t="s">
        <v>595</v>
      </c>
      <c r="D348" t="s">
        <v>35</v>
      </c>
      <c r="E348" t="s">
        <v>133</v>
      </c>
      <c r="F348" t="s">
        <v>997</v>
      </c>
      <c r="G348" t="s">
        <v>133</v>
      </c>
      <c r="M348" t="s">
        <v>137</v>
      </c>
      <c r="O348" t="s">
        <v>150</v>
      </c>
      <c r="S348" t="s">
        <v>998</v>
      </c>
      <c r="T348" t="s">
        <v>265</v>
      </c>
    </row>
    <row r="349" spans="1:20" x14ac:dyDescent="0.2">
      <c r="A349" t="s">
        <v>596</v>
      </c>
      <c r="B349" t="s">
        <v>597</v>
      </c>
      <c r="C349" t="s">
        <v>598</v>
      </c>
      <c r="D349" t="s">
        <v>35</v>
      </c>
      <c r="E349" t="s">
        <v>133</v>
      </c>
      <c r="F349" t="s">
        <v>997</v>
      </c>
      <c r="G349" t="s">
        <v>133</v>
      </c>
      <c r="M349" t="s">
        <v>137</v>
      </c>
      <c r="O349" t="s">
        <v>511</v>
      </c>
      <c r="Q349" t="s">
        <v>599</v>
      </c>
      <c r="S349" t="s">
        <v>998</v>
      </c>
      <c r="T349" t="s">
        <v>265</v>
      </c>
    </row>
    <row r="350" spans="1:20" x14ac:dyDescent="0.2">
      <c r="A350" t="s">
        <v>344</v>
      </c>
      <c r="B350" t="s">
        <v>345</v>
      </c>
      <c r="C350" t="s">
        <v>346</v>
      </c>
      <c r="D350" t="s">
        <v>35</v>
      </c>
      <c r="E350" t="s">
        <v>505</v>
      </c>
      <c r="F350" t="s">
        <v>997</v>
      </c>
      <c r="G350" t="s">
        <v>133</v>
      </c>
      <c r="H350" t="s">
        <v>133</v>
      </c>
      <c r="M350" t="s">
        <v>282</v>
      </c>
      <c r="O350" t="s">
        <v>161</v>
      </c>
      <c r="S350" t="s">
        <v>998</v>
      </c>
      <c r="T350" t="s">
        <v>265</v>
      </c>
    </row>
    <row r="351" spans="1:20" x14ac:dyDescent="0.2">
      <c r="A351" t="s">
        <v>600</v>
      </c>
      <c r="B351" t="s">
        <v>601</v>
      </c>
      <c r="C351" t="s">
        <v>602</v>
      </c>
      <c r="D351" t="s">
        <v>35</v>
      </c>
      <c r="E351" t="s">
        <v>133</v>
      </c>
      <c r="F351" t="s">
        <v>997</v>
      </c>
      <c r="H351" t="s">
        <v>133</v>
      </c>
      <c r="M351" t="s">
        <v>282</v>
      </c>
      <c r="O351" t="s">
        <v>161</v>
      </c>
      <c r="S351" t="s">
        <v>998</v>
      </c>
      <c r="T351" t="s">
        <v>265</v>
      </c>
    </row>
    <row r="352" spans="1:20" x14ac:dyDescent="0.2">
      <c r="A352" t="s">
        <v>603</v>
      </c>
      <c r="B352" t="s">
        <v>604</v>
      </c>
      <c r="C352" t="s">
        <v>605</v>
      </c>
      <c r="D352" t="s">
        <v>24</v>
      </c>
      <c r="E352" t="s">
        <v>133</v>
      </c>
      <c r="F352" t="s">
        <v>997</v>
      </c>
      <c r="H352" t="s">
        <v>133</v>
      </c>
      <c r="M352" t="s">
        <v>282</v>
      </c>
      <c r="O352" t="s">
        <v>161</v>
      </c>
      <c r="S352" t="s">
        <v>998</v>
      </c>
      <c r="T352" t="s">
        <v>265</v>
      </c>
    </row>
    <row r="353" spans="1:20" x14ac:dyDescent="0.2">
      <c r="A353" t="s">
        <v>999</v>
      </c>
      <c r="B353" t="s">
        <v>1000</v>
      </c>
      <c r="C353" t="s">
        <v>1001</v>
      </c>
      <c r="D353" t="s">
        <v>35</v>
      </c>
      <c r="E353" t="s">
        <v>505</v>
      </c>
      <c r="F353" t="s">
        <v>1002</v>
      </c>
      <c r="G353" t="s">
        <v>1003</v>
      </c>
      <c r="H353" t="s">
        <v>133</v>
      </c>
      <c r="M353" t="s">
        <v>282</v>
      </c>
      <c r="O353" t="s">
        <v>161</v>
      </c>
      <c r="R353" t="s">
        <v>1004</v>
      </c>
      <c r="S353" t="s">
        <v>1005</v>
      </c>
      <c r="T353" t="s">
        <v>265</v>
      </c>
    </row>
    <row r="354" spans="1:20" x14ac:dyDescent="0.2">
      <c r="A354" t="s">
        <v>999</v>
      </c>
      <c r="B354" t="s">
        <v>1000</v>
      </c>
      <c r="C354" t="s">
        <v>1001</v>
      </c>
      <c r="D354" t="s">
        <v>61</v>
      </c>
      <c r="E354" t="s">
        <v>255</v>
      </c>
      <c r="F354" t="s">
        <v>1002</v>
      </c>
      <c r="G354" t="s">
        <v>1003</v>
      </c>
      <c r="H354" t="s">
        <v>133</v>
      </c>
      <c r="K354" t="s">
        <v>289</v>
      </c>
      <c r="M354" t="s">
        <v>282</v>
      </c>
      <c r="O354" t="s">
        <v>161</v>
      </c>
    </row>
    <row r="355" spans="1:20" x14ac:dyDescent="0.2">
      <c r="A355" t="s">
        <v>1006</v>
      </c>
      <c r="B355" t="s">
        <v>1007</v>
      </c>
      <c r="C355" t="s">
        <v>1008</v>
      </c>
      <c r="D355" t="s">
        <v>35</v>
      </c>
      <c r="E355" t="s">
        <v>505</v>
      </c>
      <c r="F355" t="s">
        <v>1002</v>
      </c>
      <c r="G355" t="s">
        <v>1003</v>
      </c>
      <c r="H355" t="s">
        <v>133</v>
      </c>
      <c r="M355" t="s">
        <v>282</v>
      </c>
      <c r="O355" t="s">
        <v>161</v>
      </c>
      <c r="R355" t="s">
        <v>1004</v>
      </c>
      <c r="S355" t="s">
        <v>1005</v>
      </c>
      <c r="T355" t="s">
        <v>265</v>
      </c>
    </row>
    <row r="356" spans="1:20" x14ac:dyDescent="0.2">
      <c r="A356" t="s">
        <v>1006</v>
      </c>
      <c r="B356" t="s">
        <v>1007</v>
      </c>
      <c r="C356" t="s">
        <v>1008</v>
      </c>
      <c r="D356" t="s">
        <v>61</v>
      </c>
      <c r="E356" t="s">
        <v>255</v>
      </c>
      <c r="F356" t="s">
        <v>1002</v>
      </c>
      <c r="G356" t="s">
        <v>1003</v>
      </c>
      <c r="H356" t="s">
        <v>133</v>
      </c>
      <c r="K356" t="s">
        <v>350</v>
      </c>
      <c r="M356" t="s">
        <v>282</v>
      </c>
      <c r="O356" t="s">
        <v>161</v>
      </c>
    </row>
    <row r="357" spans="1:20" x14ac:dyDescent="0.2">
      <c r="A357" t="s">
        <v>1009</v>
      </c>
      <c r="B357" t="s">
        <v>1010</v>
      </c>
      <c r="C357" t="s">
        <v>1011</v>
      </c>
      <c r="D357" t="s">
        <v>35</v>
      </c>
      <c r="E357" t="s">
        <v>505</v>
      </c>
      <c r="F357" t="s">
        <v>1002</v>
      </c>
      <c r="G357" t="s">
        <v>1003</v>
      </c>
      <c r="H357" t="s">
        <v>133</v>
      </c>
      <c r="M357" t="s">
        <v>282</v>
      </c>
      <c r="O357" t="s">
        <v>161</v>
      </c>
      <c r="R357" t="s">
        <v>1004</v>
      </c>
      <c r="S357" t="s">
        <v>1005</v>
      </c>
      <c r="T357" t="s">
        <v>265</v>
      </c>
    </row>
    <row r="358" spans="1:20" x14ac:dyDescent="0.2">
      <c r="A358" t="s">
        <v>1009</v>
      </c>
      <c r="B358" t="s">
        <v>1010</v>
      </c>
      <c r="C358" t="s">
        <v>1011</v>
      </c>
      <c r="D358" t="s">
        <v>61</v>
      </c>
      <c r="E358" t="s">
        <v>255</v>
      </c>
      <c r="F358" t="s">
        <v>1002</v>
      </c>
      <c r="G358" t="s">
        <v>1003</v>
      </c>
      <c r="H358" t="s">
        <v>133</v>
      </c>
      <c r="K358" t="s">
        <v>305</v>
      </c>
      <c r="M358" t="s">
        <v>282</v>
      </c>
      <c r="O358" t="s">
        <v>161</v>
      </c>
    </row>
    <row r="359" spans="1:20" x14ac:dyDescent="0.2">
      <c r="A359" t="s">
        <v>1012</v>
      </c>
      <c r="B359" t="s">
        <v>1013</v>
      </c>
      <c r="C359" t="s">
        <v>1014</v>
      </c>
      <c r="D359" t="s">
        <v>35</v>
      </c>
      <c r="E359" t="s">
        <v>505</v>
      </c>
      <c r="F359" t="s">
        <v>1002</v>
      </c>
      <c r="G359" t="s">
        <v>1003</v>
      </c>
      <c r="H359" t="s">
        <v>133</v>
      </c>
      <c r="M359" t="s">
        <v>282</v>
      </c>
      <c r="O359" t="s">
        <v>161</v>
      </c>
      <c r="R359" t="s">
        <v>1004</v>
      </c>
      <c r="S359" t="s">
        <v>1005</v>
      </c>
      <c r="T359" t="s">
        <v>265</v>
      </c>
    </row>
    <row r="360" spans="1:20" x14ac:dyDescent="0.2">
      <c r="A360" t="s">
        <v>1012</v>
      </c>
      <c r="B360" t="s">
        <v>1013</v>
      </c>
      <c r="C360" t="s">
        <v>1014</v>
      </c>
      <c r="D360" t="s">
        <v>61</v>
      </c>
      <c r="E360" t="s">
        <v>255</v>
      </c>
      <c r="F360" t="s">
        <v>1002</v>
      </c>
      <c r="G360" t="s">
        <v>1003</v>
      </c>
      <c r="H360" t="s">
        <v>133</v>
      </c>
      <c r="K360" t="s">
        <v>322</v>
      </c>
      <c r="M360" t="s">
        <v>282</v>
      </c>
      <c r="O360" t="s">
        <v>161</v>
      </c>
    </row>
    <row r="361" spans="1:20" x14ac:dyDescent="0.2">
      <c r="A361" t="s">
        <v>574</v>
      </c>
      <c r="B361" t="s">
        <v>575</v>
      </c>
      <c r="C361" t="s">
        <v>576</v>
      </c>
      <c r="D361" t="s">
        <v>35</v>
      </c>
      <c r="E361" t="s">
        <v>133</v>
      </c>
      <c r="F361" t="s">
        <v>1002</v>
      </c>
      <c r="G361" t="s">
        <v>1003</v>
      </c>
      <c r="H361" t="s">
        <v>133</v>
      </c>
      <c r="M361" t="s">
        <v>137</v>
      </c>
      <c r="O361" t="s">
        <v>161</v>
      </c>
      <c r="R361" t="s">
        <v>1004</v>
      </c>
      <c r="S361" t="s">
        <v>1005</v>
      </c>
      <c r="T361" t="s">
        <v>265</v>
      </c>
    </row>
    <row r="362" spans="1:20" x14ac:dyDescent="0.2">
      <c r="A362" t="s">
        <v>577</v>
      </c>
      <c r="B362" t="s">
        <v>578</v>
      </c>
      <c r="C362" t="s">
        <v>579</v>
      </c>
      <c r="D362" t="s">
        <v>35</v>
      </c>
      <c r="E362" t="s">
        <v>133</v>
      </c>
      <c r="F362" t="s">
        <v>1002</v>
      </c>
      <c r="G362" t="s">
        <v>1003</v>
      </c>
      <c r="H362" t="s">
        <v>133</v>
      </c>
      <c r="M362" t="s">
        <v>137</v>
      </c>
      <c r="O362" t="s">
        <v>161</v>
      </c>
      <c r="R362" t="s">
        <v>1004</v>
      </c>
      <c r="S362" t="s">
        <v>1005</v>
      </c>
      <c r="T362" t="s">
        <v>265</v>
      </c>
    </row>
    <row r="363" spans="1:20" x14ac:dyDescent="0.2">
      <c r="A363" t="s">
        <v>658</v>
      </c>
      <c r="B363" t="s">
        <v>659</v>
      </c>
      <c r="C363" t="s">
        <v>660</v>
      </c>
      <c r="D363" t="s">
        <v>35</v>
      </c>
      <c r="E363" t="s">
        <v>133</v>
      </c>
      <c r="F363" t="s">
        <v>1002</v>
      </c>
      <c r="G363" t="s">
        <v>1003</v>
      </c>
      <c r="H363" t="s">
        <v>133</v>
      </c>
      <c r="M363" t="s">
        <v>282</v>
      </c>
      <c r="O363" t="s">
        <v>161</v>
      </c>
      <c r="R363" t="s">
        <v>1004</v>
      </c>
      <c r="S363" t="s">
        <v>1005</v>
      </c>
      <c r="T363" t="s">
        <v>265</v>
      </c>
    </row>
    <row r="364" spans="1:20" x14ac:dyDescent="0.2">
      <c r="A364" t="s">
        <v>661</v>
      </c>
      <c r="B364" t="s">
        <v>662</v>
      </c>
      <c r="C364" t="s">
        <v>663</v>
      </c>
      <c r="D364" t="s">
        <v>24</v>
      </c>
      <c r="E364" t="s">
        <v>133</v>
      </c>
      <c r="F364" t="s">
        <v>1002</v>
      </c>
      <c r="G364" t="s">
        <v>1003</v>
      </c>
      <c r="H364" t="s">
        <v>133</v>
      </c>
      <c r="M364" t="s">
        <v>282</v>
      </c>
      <c r="O364" t="s">
        <v>161</v>
      </c>
      <c r="R364" t="s">
        <v>1004</v>
      </c>
      <c r="S364" t="s">
        <v>1005</v>
      </c>
      <c r="T364" t="s">
        <v>265</v>
      </c>
    </row>
    <row r="365" spans="1:20" x14ac:dyDescent="0.2">
      <c r="A365" t="s">
        <v>584</v>
      </c>
      <c r="B365" t="s">
        <v>585</v>
      </c>
      <c r="C365" t="s">
        <v>586</v>
      </c>
      <c r="D365" t="s">
        <v>35</v>
      </c>
      <c r="E365" t="s">
        <v>133</v>
      </c>
      <c r="F365" t="s">
        <v>1002</v>
      </c>
      <c r="G365" t="s">
        <v>1003</v>
      </c>
      <c r="H365" t="s">
        <v>133</v>
      </c>
      <c r="M365" t="s">
        <v>282</v>
      </c>
      <c r="O365" t="s">
        <v>161</v>
      </c>
      <c r="R365" t="s">
        <v>1004</v>
      </c>
      <c r="S365" t="s">
        <v>1005</v>
      </c>
      <c r="T365" t="s">
        <v>265</v>
      </c>
    </row>
    <row r="366" spans="1:20" x14ac:dyDescent="0.2">
      <c r="A366" t="s">
        <v>587</v>
      </c>
      <c r="B366" t="s">
        <v>588</v>
      </c>
      <c r="C366" t="s">
        <v>589</v>
      </c>
      <c r="D366" t="s">
        <v>35</v>
      </c>
      <c r="E366" t="s">
        <v>133</v>
      </c>
      <c r="F366" t="s">
        <v>1002</v>
      </c>
      <c r="G366" t="s">
        <v>1003</v>
      </c>
      <c r="H366" t="s">
        <v>133</v>
      </c>
      <c r="M366" t="s">
        <v>282</v>
      </c>
      <c r="O366" t="s">
        <v>161</v>
      </c>
      <c r="R366" t="s">
        <v>1004</v>
      </c>
      <c r="S366" t="s">
        <v>1005</v>
      </c>
      <c r="T366" t="s">
        <v>265</v>
      </c>
    </row>
    <row r="367" spans="1:20" x14ac:dyDescent="0.2">
      <c r="A367" t="s">
        <v>63</v>
      </c>
      <c r="B367" t="s">
        <v>64</v>
      </c>
      <c r="C367" t="s">
        <v>65</v>
      </c>
      <c r="D367" t="s">
        <v>24</v>
      </c>
      <c r="E367" t="s">
        <v>133</v>
      </c>
      <c r="F367" t="s">
        <v>1002</v>
      </c>
      <c r="G367" t="s">
        <v>1003</v>
      </c>
      <c r="H367" t="s">
        <v>133</v>
      </c>
      <c r="M367" t="s">
        <v>282</v>
      </c>
      <c r="O367" t="s">
        <v>161</v>
      </c>
      <c r="R367" t="s">
        <v>1004</v>
      </c>
      <c r="S367" t="s">
        <v>1005</v>
      </c>
      <c r="T367" t="s">
        <v>265</v>
      </c>
    </row>
    <row r="368" spans="1:20" x14ac:dyDescent="0.2">
      <c r="A368" t="s">
        <v>542</v>
      </c>
      <c r="B368" t="s">
        <v>543</v>
      </c>
      <c r="C368" t="s">
        <v>544</v>
      </c>
      <c r="D368" t="s">
        <v>35</v>
      </c>
      <c r="E368" t="s">
        <v>133</v>
      </c>
      <c r="F368" t="s">
        <v>1002</v>
      </c>
      <c r="G368" t="s">
        <v>1003</v>
      </c>
      <c r="H368" t="s">
        <v>133</v>
      </c>
      <c r="M368" t="s">
        <v>137</v>
      </c>
      <c r="O368" t="s">
        <v>161</v>
      </c>
      <c r="R368" t="s">
        <v>1004</v>
      </c>
      <c r="S368" t="s">
        <v>1005</v>
      </c>
      <c r="T368" t="s">
        <v>265</v>
      </c>
    </row>
    <row r="369" spans="1:20" x14ac:dyDescent="0.2">
      <c r="A369" t="s">
        <v>608</v>
      </c>
      <c r="B369" t="s">
        <v>609</v>
      </c>
      <c r="C369" t="s">
        <v>610</v>
      </c>
      <c r="D369" t="s">
        <v>35</v>
      </c>
      <c r="E369" t="s">
        <v>133</v>
      </c>
      <c r="F369" t="s">
        <v>1002</v>
      </c>
      <c r="G369" t="s">
        <v>1003</v>
      </c>
      <c r="H369" t="s">
        <v>133</v>
      </c>
      <c r="M369" t="s">
        <v>137</v>
      </c>
      <c r="O369" t="s">
        <v>161</v>
      </c>
      <c r="R369" t="s">
        <v>1004</v>
      </c>
      <c r="S369" t="s">
        <v>1005</v>
      </c>
      <c r="T369" t="s">
        <v>265</v>
      </c>
    </row>
    <row r="370" spans="1:20" x14ac:dyDescent="0.2">
      <c r="A370" t="s">
        <v>611</v>
      </c>
      <c r="B370" t="s">
        <v>612</v>
      </c>
      <c r="C370" t="s">
        <v>613</v>
      </c>
      <c r="D370" t="s">
        <v>35</v>
      </c>
      <c r="E370" t="s">
        <v>133</v>
      </c>
      <c r="F370" t="s">
        <v>1002</v>
      </c>
      <c r="G370" t="s">
        <v>1003</v>
      </c>
      <c r="H370" t="s">
        <v>133</v>
      </c>
      <c r="M370" t="s">
        <v>282</v>
      </c>
      <c r="O370" t="s">
        <v>161</v>
      </c>
      <c r="R370" t="s">
        <v>1004</v>
      </c>
      <c r="S370" t="s">
        <v>1005</v>
      </c>
      <c r="T370" t="s">
        <v>265</v>
      </c>
    </row>
    <row r="371" spans="1:20" x14ac:dyDescent="0.2">
      <c r="A371" t="s">
        <v>524</v>
      </c>
      <c r="B371" t="s">
        <v>525</v>
      </c>
      <c r="C371" t="s">
        <v>526</v>
      </c>
      <c r="D371" t="s">
        <v>61</v>
      </c>
      <c r="E371" t="s">
        <v>133</v>
      </c>
      <c r="F371" t="s">
        <v>1002</v>
      </c>
      <c r="G371" t="s">
        <v>1003</v>
      </c>
      <c r="H371" t="s">
        <v>133</v>
      </c>
      <c r="K371" t="s">
        <v>1015</v>
      </c>
      <c r="M371" t="s">
        <v>137</v>
      </c>
      <c r="O371" t="s">
        <v>161</v>
      </c>
    </row>
    <row r="372" spans="1:20" x14ac:dyDescent="0.2">
      <c r="A372" t="s">
        <v>562</v>
      </c>
      <c r="B372" t="s">
        <v>563</v>
      </c>
      <c r="C372" t="s">
        <v>564</v>
      </c>
      <c r="D372" t="s">
        <v>61</v>
      </c>
      <c r="E372" t="s">
        <v>133</v>
      </c>
      <c r="F372" t="s">
        <v>1002</v>
      </c>
      <c r="G372" t="s">
        <v>1003</v>
      </c>
      <c r="H372" t="s">
        <v>133</v>
      </c>
      <c r="K372" t="s">
        <v>1014</v>
      </c>
      <c r="M372" t="s">
        <v>282</v>
      </c>
      <c r="O372" t="s">
        <v>161</v>
      </c>
    </row>
    <row r="373" spans="1:20" x14ac:dyDescent="0.2">
      <c r="A373" t="s">
        <v>1016</v>
      </c>
      <c r="B373" t="s">
        <v>1017</v>
      </c>
      <c r="C373" t="s">
        <v>1018</v>
      </c>
      <c r="D373" t="s">
        <v>61</v>
      </c>
      <c r="E373" t="s">
        <v>133</v>
      </c>
      <c r="F373" t="s">
        <v>1002</v>
      </c>
      <c r="G373" t="s">
        <v>1003</v>
      </c>
      <c r="H373" t="s">
        <v>133</v>
      </c>
      <c r="K373" t="s">
        <v>1019</v>
      </c>
      <c r="M373" t="s">
        <v>137</v>
      </c>
      <c r="O373" t="s">
        <v>150</v>
      </c>
    </row>
    <row r="374" spans="1:20" x14ac:dyDescent="0.2">
      <c r="A374" t="s">
        <v>1020</v>
      </c>
      <c r="B374" t="s">
        <v>1021</v>
      </c>
      <c r="C374" t="s">
        <v>1022</v>
      </c>
      <c r="D374" t="s">
        <v>24</v>
      </c>
      <c r="E374" t="s">
        <v>133</v>
      </c>
      <c r="F374" t="s">
        <v>1002</v>
      </c>
      <c r="G374" t="s">
        <v>1003</v>
      </c>
      <c r="H374" t="s">
        <v>133</v>
      </c>
      <c r="M374" t="s">
        <v>137</v>
      </c>
      <c r="O374" t="s">
        <v>150</v>
      </c>
      <c r="R374" t="s">
        <v>1004</v>
      </c>
      <c r="S374" t="s">
        <v>1005</v>
      </c>
      <c r="T374" t="s">
        <v>265</v>
      </c>
    </row>
    <row r="375" spans="1:20" x14ac:dyDescent="0.2">
      <c r="A375" t="s">
        <v>1023</v>
      </c>
      <c r="B375" t="s">
        <v>1024</v>
      </c>
      <c r="C375" t="s">
        <v>1025</v>
      </c>
      <c r="D375" t="s">
        <v>24</v>
      </c>
      <c r="E375" t="s">
        <v>133</v>
      </c>
      <c r="F375" t="s">
        <v>1002</v>
      </c>
      <c r="G375" t="s">
        <v>1003</v>
      </c>
      <c r="H375" t="s">
        <v>133</v>
      </c>
      <c r="M375" t="s">
        <v>137</v>
      </c>
      <c r="O375" t="s">
        <v>150</v>
      </c>
      <c r="R375" t="s">
        <v>1004</v>
      </c>
      <c r="S375" t="s">
        <v>1005</v>
      </c>
      <c r="T375" t="s">
        <v>265</v>
      </c>
    </row>
    <row r="376" spans="1:20" x14ac:dyDescent="0.2">
      <c r="A376" t="s">
        <v>1026</v>
      </c>
      <c r="B376" t="s">
        <v>1027</v>
      </c>
      <c r="C376" t="s">
        <v>1028</v>
      </c>
      <c r="D376" t="s">
        <v>24</v>
      </c>
      <c r="E376" t="s">
        <v>133</v>
      </c>
      <c r="F376" t="s">
        <v>1002</v>
      </c>
      <c r="G376" t="s">
        <v>1003</v>
      </c>
      <c r="H376" t="s">
        <v>133</v>
      </c>
      <c r="M376" t="s">
        <v>137</v>
      </c>
      <c r="O376" t="s">
        <v>150</v>
      </c>
      <c r="R376" t="s">
        <v>1004</v>
      </c>
      <c r="S376" t="s">
        <v>1005</v>
      </c>
      <c r="T376" t="s">
        <v>265</v>
      </c>
    </row>
    <row r="377" spans="1:20" x14ac:dyDescent="0.2">
      <c r="A377" t="s">
        <v>1029</v>
      </c>
      <c r="B377" t="s">
        <v>1030</v>
      </c>
      <c r="C377" t="s">
        <v>1031</v>
      </c>
      <c r="D377" t="s">
        <v>24</v>
      </c>
      <c r="E377" t="s">
        <v>133</v>
      </c>
      <c r="F377" t="s">
        <v>1002</v>
      </c>
      <c r="G377" t="s">
        <v>1003</v>
      </c>
      <c r="H377" t="s">
        <v>133</v>
      </c>
      <c r="M377" t="s">
        <v>137</v>
      </c>
      <c r="O377" t="s">
        <v>150</v>
      </c>
      <c r="R377" t="s">
        <v>1004</v>
      </c>
      <c r="S377" t="s">
        <v>1005</v>
      </c>
      <c r="T377" t="s">
        <v>265</v>
      </c>
    </row>
    <row r="378" spans="1:20" x14ac:dyDescent="0.2">
      <c r="A378" t="s">
        <v>1032</v>
      </c>
      <c r="B378" t="s">
        <v>1033</v>
      </c>
      <c r="C378" t="s">
        <v>1034</v>
      </c>
      <c r="D378" t="s">
        <v>24</v>
      </c>
      <c r="E378" t="s">
        <v>133</v>
      </c>
      <c r="F378" t="s">
        <v>1002</v>
      </c>
      <c r="G378" t="s">
        <v>1003</v>
      </c>
      <c r="H378" t="s">
        <v>133</v>
      </c>
      <c r="M378" t="s">
        <v>137</v>
      </c>
      <c r="O378" t="s">
        <v>150</v>
      </c>
      <c r="R378" t="s">
        <v>1004</v>
      </c>
      <c r="S378" t="s">
        <v>1005</v>
      </c>
      <c r="T378" t="s">
        <v>265</v>
      </c>
    </row>
    <row r="379" spans="1:20" x14ac:dyDescent="0.2">
      <c r="A379" t="s">
        <v>1035</v>
      </c>
      <c r="B379" t="s">
        <v>1036</v>
      </c>
      <c r="C379" t="s">
        <v>1037</v>
      </c>
      <c r="D379" t="s">
        <v>61</v>
      </c>
      <c r="E379" t="s">
        <v>133</v>
      </c>
      <c r="F379" t="s">
        <v>133</v>
      </c>
      <c r="G379" t="s">
        <v>133</v>
      </c>
      <c r="H379" t="s">
        <v>133</v>
      </c>
      <c r="K379" t="s">
        <v>1038</v>
      </c>
      <c r="M379" t="s">
        <v>282</v>
      </c>
      <c r="O379" t="s">
        <v>161</v>
      </c>
    </row>
    <row r="380" spans="1:20" x14ac:dyDescent="0.2">
      <c r="A380" t="s">
        <v>1039</v>
      </c>
      <c r="B380" t="s">
        <v>1040</v>
      </c>
      <c r="C380" t="s">
        <v>1041</v>
      </c>
      <c r="D380" t="s">
        <v>35</v>
      </c>
      <c r="E380" t="s">
        <v>505</v>
      </c>
      <c r="F380" t="s">
        <v>510</v>
      </c>
      <c r="G380" t="s">
        <v>1042</v>
      </c>
      <c r="H380" t="s">
        <v>133</v>
      </c>
      <c r="M380" t="s">
        <v>282</v>
      </c>
      <c r="O380" t="s">
        <v>511</v>
      </c>
      <c r="Q380" t="s">
        <v>1043</v>
      </c>
      <c r="S380" t="s">
        <v>506</v>
      </c>
      <c r="T380" t="s">
        <v>1044</v>
      </c>
    </row>
    <row r="381" spans="1:20" x14ac:dyDescent="0.2">
      <c r="A381" t="s">
        <v>1039</v>
      </c>
      <c r="B381" t="s">
        <v>1040</v>
      </c>
      <c r="C381" t="s">
        <v>1041</v>
      </c>
      <c r="D381" t="s">
        <v>35</v>
      </c>
      <c r="E381" t="s">
        <v>505</v>
      </c>
      <c r="F381" t="s">
        <v>606</v>
      </c>
      <c r="G381" t="s">
        <v>1042</v>
      </c>
      <c r="H381" t="s">
        <v>133</v>
      </c>
      <c r="M381" t="s">
        <v>282</v>
      </c>
      <c r="O381" t="s">
        <v>511</v>
      </c>
      <c r="Q381" t="s">
        <v>1043</v>
      </c>
      <c r="S381" t="s">
        <v>607</v>
      </c>
      <c r="T381" t="s">
        <v>1044</v>
      </c>
    </row>
    <row r="382" spans="1:20" x14ac:dyDescent="0.2">
      <c r="A382" t="s">
        <v>1039</v>
      </c>
      <c r="B382" t="s">
        <v>1040</v>
      </c>
      <c r="C382" t="s">
        <v>1041</v>
      </c>
      <c r="D382" t="s">
        <v>35</v>
      </c>
      <c r="E382" t="s">
        <v>505</v>
      </c>
      <c r="F382" t="s">
        <v>997</v>
      </c>
      <c r="G382" t="s">
        <v>1042</v>
      </c>
      <c r="H382" t="s">
        <v>133</v>
      </c>
      <c r="M382" t="s">
        <v>282</v>
      </c>
      <c r="O382" t="s">
        <v>511</v>
      </c>
      <c r="Q382" t="s">
        <v>1043</v>
      </c>
      <c r="S382" t="s">
        <v>998</v>
      </c>
      <c r="T382" t="s">
        <v>1044</v>
      </c>
    </row>
    <row r="383" spans="1:20" x14ac:dyDescent="0.2">
      <c r="A383" t="s">
        <v>1039</v>
      </c>
      <c r="B383" t="s">
        <v>1040</v>
      </c>
      <c r="C383" t="s">
        <v>1041</v>
      </c>
      <c r="D383" t="s">
        <v>61</v>
      </c>
      <c r="E383" t="s">
        <v>255</v>
      </c>
      <c r="F383" t="s">
        <v>133</v>
      </c>
      <c r="G383" t="s">
        <v>1042</v>
      </c>
      <c r="H383" t="s">
        <v>133</v>
      </c>
      <c r="K383" t="s">
        <v>1043</v>
      </c>
      <c r="M383" t="s">
        <v>282</v>
      </c>
      <c r="O383" t="s">
        <v>511</v>
      </c>
      <c r="Q383" t="s">
        <v>1043</v>
      </c>
    </row>
    <row r="384" spans="1:20" x14ac:dyDescent="0.2">
      <c r="A384" t="s">
        <v>1045</v>
      </c>
      <c r="B384" t="s">
        <v>1046</v>
      </c>
      <c r="C384" t="s">
        <v>1047</v>
      </c>
      <c r="D384" t="s">
        <v>61</v>
      </c>
      <c r="E384" t="s">
        <v>255</v>
      </c>
      <c r="F384" t="s">
        <v>133</v>
      </c>
      <c r="K384" t="s">
        <v>1048</v>
      </c>
      <c r="L384" t="s">
        <v>160</v>
      </c>
      <c r="M384" t="s">
        <v>282</v>
      </c>
      <c r="O384" t="s">
        <v>511</v>
      </c>
    </row>
    <row r="385" spans="1:20" x14ac:dyDescent="0.2">
      <c r="A385" t="s">
        <v>1049</v>
      </c>
      <c r="B385" t="s">
        <v>1050</v>
      </c>
      <c r="C385" t="s">
        <v>1051</v>
      </c>
      <c r="D385" t="s">
        <v>61</v>
      </c>
      <c r="E385" t="s">
        <v>133</v>
      </c>
      <c r="F385" t="s">
        <v>133</v>
      </c>
      <c r="G385" t="s">
        <v>133</v>
      </c>
      <c r="H385" t="s">
        <v>133</v>
      </c>
      <c r="K385" t="s">
        <v>350</v>
      </c>
      <c r="M385" t="s">
        <v>282</v>
      </c>
      <c r="O385" t="s">
        <v>511</v>
      </c>
    </row>
    <row r="386" spans="1:20" x14ac:dyDescent="0.2">
      <c r="A386" t="s">
        <v>1052</v>
      </c>
      <c r="B386" t="s">
        <v>1053</v>
      </c>
      <c r="C386" t="s">
        <v>1054</v>
      </c>
      <c r="D386" t="s">
        <v>61</v>
      </c>
      <c r="E386" t="s">
        <v>133</v>
      </c>
      <c r="F386" t="s">
        <v>133</v>
      </c>
      <c r="K386" t="s">
        <v>1055</v>
      </c>
      <c r="M386" t="s">
        <v>282</v>
      </c>
      <c r="O386" t="s">
        <v>161</v>
      </c>
    </row>
    <row r="387" spans="1:20" x14ac:dyDescent="0.2">
      <c r="A387" t="s">
        <v>1056</v>
      </c>
      <c r="B387" t="s">
        <v>1057</v>
      </c>
      <c r="C387" t="s">
        <v>1058</v>
      </c>
      <c r="D387" t="s">
        <v>61</v>
      </c>
      <c r="E387" t="s">
        <v>133</v>
      </c>
      <c r="F387" t="s">
        <v>133</v>
      </c>
      <c r="K387" t="s">
        <v>1059</v>
      </c>
      <c r="M387" t="s">
        <v>282</v>
      </c>
      <c r="O387" t="s">
        <v>161</v>
      </c>
    </row>
    <row r="388" spans="1:20" x14ac:dyDescent="0.2">
      <c r="A388" t="s">
        <v>1060</v>
      </c>
      <c r="B388" t="s">
        <v>1061</v>
      </c>
      <c r="C388" t="s">
        <v>1062</v>
      </c>
      <c r="D388" t="s">
        <v>61</v>
      </c>
      <c r="E388" t="s">
        <v>133</v>
      </c>
      <c r="F388" t="s">
        <v>1063</v>
      </c>
      <c r="K388" t="s">
        <v>1064</v>
      </c>
      <c r="M388" t="s">
        <v>282</v>
      </c>
      <c r="O388" t="s">
        <v>161</v>
      </c>
    </row>
    <row r="389" spans="1:20" x14ac:dyDescent="0.2">
      <c r="A389" t="s">
        <v>1065</v>
      </c>
      <c r="B389" t="s">
        <v>1066</v>
      </c>
      <c r="C389" t="s">
        <v>1067</v>
      </c>
      <c r="D389" t="s">
        <v>24</v>
      </c>
      <c r="E389" t="s">
        <v>133</v>
      </c>
      <c r="F389" t="s">
        <v>1063</v>
      </c>
      <c r="M389" t="s">
        <v>282</v>
      </c>
      <c r="O389" t="s">
        <v>161</v>
      </c>
      <c r="Q389" t="s">
        <v>1068</v>
      </c>
      <c r="S389" t="s">
        <v>1044</v>
      </c>
      <c r="T389" t="s">
        <v>1069</v>
      </c>
    </row>
    <row r="390" spans="1:20" x14ac:dyDescent="0.2">
      <c r="A390" t="s">
        <v>1070</v>
      </c>
      <c r="B390" t="s">
        <v>1071</v>
      </c>
      <c r="C390" t="s">
        <v>1072</v>
      </c>
      <c r="D390" t="s">
        <v>61</v>
      </c>
      <c r="E390" t="s">
        <v>133</v>
      </c>
      <c r="F390" t="s">
        <v>1063</v>
      </c>
      <c r="K390" t="s">
        <v>1073</v>
      </c>
      <c r="M390" t="s">
        <v>137</v>
      </c>
      <c r="O390" t="s">
        <v>150</v>
      </c>
    </row>
    <row r="391" spans="1:20" x14ac:dyDescent="0.2">
      <c r="A391" t="s">
        <v>1074</v>
      </c>
      <c r="B391" t="s">
        <v>1075</v>
      </c>
      <c r="C391" t="s">
        <v>1076</v>
      </c>
      <c r="D391" t="s">
        <v>24</v>
      </c>
      <c r="E391" t="s">
        <v>133</v>
      </c>
      <c r="F391" t="s">
        <v>1063</v>
      </c>
      <c r="M391" t="s">
        <v>137</v>
      </c>
      <c r="O391" t="s">
        <v>150</v>
      </c>
      <c r="Q391" t="s">
        <v>1077</v>
      </c>
      <c r="S391" t="s">
        <v>1044</v>
      </c>
      <c r="T391" t="s">
        <v>1069</v>
      </c>
    </row>
    <row r="392" spans="1:20" x14ac:dyDescent="0.2">
      <c r="A392" t="s">
        <v>1078</v>
      </c>
      <c r="B392" t="s">
        <v>1079</v>
      </c>
      <c r="C392" t="s">
        <v>1080</v>
      </c>
      <c r="D392" t="s">
        <v>61</v>
      </c>
      <c r="E392" t="s">
        <v>133</v>
      </c>
      <c r="F392" t="s">
        <v>1081</v>
      </c>
      <c r="K392" t="s">
        <v>1082</v>
      </c>
      <c r="M392" t="s">
        <v>282</v>
      </c>
      <c r="O392" t="s">
        <v>161</v>
      </c>
      <c r="P392" t="s">
        <v>1083</v>
      </c>
    </row>
    <row r="393" spans="1:20" x14ac:dyDescent="0.2">
      <c r="A393" t="s">
        <v>1084</v>
      </c>
      <c r="B393" t="s">
        <v>1085</v>
      </c>
      <c r="C393" t="s">
        <v>1086</v>
      </c>
      <c r="D393" t="s">
        <v>61</v>
      </c>
      <c r="E393" t="s">
        <v>133</v>
      </c>
      <c r="F393" t="s">
        <v>1087</v>
      </c>
      <c r="K393" t="s">
        <v>1088</v>
      </c>
      <c r="M393" t="s">
        <v>282</v>
      </c>
      <c r="O393" t="s">
        <v>161</v>
      </c>
      <c r="P393">
        <v>4505015</v>
      </c>
    </row>
    <row r="394" spans="1:20" x14ac:dyDescent="0.2">
      <c r="A394" t="s">
        <v>1089</v>
      </c>
      <c r="B394" t="s">
        <v>1090</v>
      </c>
      <c r="C394" t="s">
        <v>1091</v>
      </c>
      <c r="D394" t="s">
        <v>35</v>
      </c>
      <c r="E394" t="s">
        <v>133</v>
      </c>
      <c r="F394" t="s">
        <v>1087</v>
      </c>
      <c r="M394" t="s">
        <v>282</v>
      </c>
      <c r="O394" t="s">
        <v>161</v>
      </c>
      <c r="Q394" t="s">
        <v>1092</v>
      </c>
      <c r="S394" t="s">
        <v>1044</v>
      </c>
      <c r="T394" t="s">
        <v>1093</v>
      </c>
    </row>
    <row r="395" spans="1:20" x14ac:dyDescent="0.2">
      <c r="A395" t="s">
        <v>1094</v>
      </c>
      <c r="B395" t="s">
        <v>1095</v>
      </c>
      <c r="C395" t="s">
        <v>1096</v>
      </c>
      <c r="D395" t="s">
        <v>61</v>
      </c>
      <c r="E395" t="s">
        <v>133</v>
      </c>
      <c r="F395" t="s">
        <v>1087</v>
      </c>
      <c r="K395" t="s">
        <v>1097</v>
      </c>
      <c r="M395" t="s">
        <v>282</v>
      </c>
      <c r="O395" t="s">
        <v>150</v>
      </c>
    </row>
    <row r="396" spans="1:20" x14ac:dyDescent="0.2">
      <c r="A396" t="s">
        <v>1098</v>
      </c>
      <c r="B396" t="s">
        <v>1099</v>
      </c>
      <c r="C396" t="s">
        <v>1100</v>
      </c>
      <c r="D396" t="s">
        <v>35</v>
      </c>
      <c r="E396" t="s">
        <v>133</v>
      </c>
      <c r="F396" t="s">
        <v>1087</v>
      </c>
      <c r="M396" t="s">
        <v>282</v>
      </c>
      <c r="O396" t="s">
        <v>511</v>
      </c>
      <c r="Q396" t="s">
        <v>1101</v>
      </c>
      <c r="S396" t="s">
        <v>1044</v>
      </c>
      <c r="T396" t="s">
        <v>1093</v>
      </c>
    </row>
    <row r="397" spans="1:20" x14ac:dyDescent="0.2">
      <c r="A397" t="s">
        <v>1102</v>
      </c>
      <c r="B397" t="s">
        <v>1103</v>
      </c>
      <c r="C397" t="s">
        <v>1104</v>
      </c>
      <c r="D397" t="s">
        <v>61</v>
      </c>
      <c r="E397" t="s">
        <v>133</v>
      </c>
      <c r="F397" t="s">
        <v>1081</v>
      </c>
      <c r="K397" t="s">
        <v>1105</v>
      </c>
      <c r="M397" t="s">
        <v>282</v>
      </c>
      <c r="O397" t="s">
        <v>150</v>
      </c>
    </row>
    <row r="398" spans="1:20" x14ac:dyDescent="0.2">
      <c r="A398" t="s">
        <v>1106</v>
      </c>
      <c r="B398" t="s">
        <v>1107</v>
      </c>
      <c r="C398" t="s">
        <v>1108</v>
      </c>
      <c r="D398" t="s">
        <v>35</v>
      </c>
      <c r="E398" t="s">
        <v>133</v>
      </c>
      <c r="F398" t="s">
        <v>1081</v>
      </c>
      <c r="M398" t="s">
        <v>137</v>
      </c>
      <c r="O398" t="s">
        <v>150</v>
      </c>
      <c r="Q398" t="s">
        <v>1109</v>
      </c>
      <c r="S398" t="s">
        <v>1044</v>
      </c>
    </row>
    <row r="399" spans="1:20" x14ac:dyDescent="0.2">
      <c r="A399" t="s">
        <v>1110</v>
      </c>
      <c r="B399" t="s">
        <v>1111</v>
      </c>
      <c r="C399" t="s">
        <v>1112</v>
      </c>
      <c r="D399" t="s">
        <v>61</v>
      </c>
      <c r="E399" t="s">
        <v>133</v>
      </c>
      <c r="F399" t="s">
        <v>1087</v>
      </c>
      <c r="K399" t="s">
        <v>1113</v>
      </c>
      <c r="M399" t="s">
        <v>282</v>
      </c>
      <c r="O399" t="s">
        <v>161</v>
      </c>
      <c r="P399">
        <v>4505015</v>
      </c>
    </row>
    <row r="400" spans="1:20" x14ac:dyDescent="0.2">
      <c r="A400" t="s">
        <v>1114</v>
      </c>
      <c r="B400" t="s">
        <v>1115</v>
      </c>
      <c r="C400" t="s">
        <v>1116</v>
      </c>
      <c r="D400" t="s">
        <v>35</v>
      </c>
      <c r="E400" t="s">
        <v>133</v>
      </c>
      <c r="F400" t="s">
        <v>1087</v>
      </c>
      <c r="M400" t="s">
        <v>282</v>
      </c>
      <c r="O400" t="s">
        <v>161</v>
      </c>
      <c r="Q400" t="s">
        <v>1117</v>
      </c>
      <c r="S400" t="s">
        <v>1044</v>
      </c>
      <c r="T400" t="s">
        <v>1093</v>
      </c>
    </row>
    <row r="401" spans="1:20" x14ac:dyDescent="0.2">
      <c r="A401" t="s">
        <v>1118</v>
      </c>
      <c r="B401" t="s">
        <v>1119</v>
      </c>
      <c r="C401" t="s">
        <v>1120</v>
      </c>
      <c r="D401" t="s">
        <v>61</v>
      </c>
      <c r="E401" t="s">
        <v>133</v>
      </c>
      <c r="F401" t="s">
        <v>1087</v>
      </c>
      <c r="K401" t="s">
        <v>1121</v>
      </c>
      <c r="M401" t="s">
        <v>282</v>
      </c>
      <c r="O401" t="s">
        <v>150</v>
      </c>
    </row>
    <row r="402" spans="1:20" x14ac:dyDescent="0.2">
      <c r="A402" t="s">
        <v>1122</v>
      </c>
      <c r="B402" t="s">
        <v>1123</v>
      </c>
      <c r="C402" t="s">
        <v>1124</v>
      </c>
      <c r="D402" t="s">
        <v>61</v>
      </c>
      <c r="E402" t="s">
        <v>133</v>
      </c>
      <c r="F402" t="s">
        <v>1087</v>
      </c>
      <c r="K402" t="s">
        <v>1125</v>
      </c>
      <c r="M402" t="s">
        <v>137</v>
      </c>
      <c r="O402" t="s">
        <v>511</v>
      </c>
      <c r="Q402" t="s">
        <v>1126</v>
      </c>
    </row>
    <row r="403" spans="1:20" x14ac:dyDescent="0.2">
      <c r="A403" t="s">
        <v>1127</v>
      </c>
      <c r="B403" t="s">
        <v>1128</v>
      </c>
      <c r="C403" t="s">
        <v>1129</v>
      </c>
      <c r="D403" t="s">
        <v>61</v>
      </c>
      <c r="E403" t="s">
        <v>133</v>
      </c>
      <c r="F403" t="s">
        <v>1130</v>
      </c>
      <c r="K403" t="s">
        <v>1131</v>
      </c>
      <c r="M403" t="s">
        <v>282</v>
      </c>
      <c r="O403" t="s">
        <v>161</v>
      </c>
      <c r="P403" t="s">
        <v>1083</v>
      </c>
    </row>
    <row r="404" spans="1:20" x14ac:dyDescent="0.2">
      <c r="A404" t="s">
        <v>1132</v>
      </c>
      <c r="B404" t="s">
        <v>1133</v>
      </c>
      <c r="C404" t="s">
        <v>1134</v>
      </c>
      <c r="D404" t="s">
        <v>61</v>
      </c>
      <c r="E404" t="s">
        <v>133</v>
      </c>
      <c r="F404" t="s">
        <v>1130</v>
      </c>
      <c r="K404" t="s">
        <v>1135</v>
      </c>
      <c r="M404" t="s">
        <v>282</v>
      </c>
      <c r="O404" t="s">
        <v>161</v>
      </c>
      <c r="P404">
        <v>4505015</v>
      </c>
    </row>
    <row r="405" spans="1:20" x14ac:dyDescent="0.2">
      <c r="A405" t="s">
        <v>1136</v>
      </c>
      <c r="B405" t="s">
        <v>1137</v>
      </c>
      <c r="C405" t="s">
        <v>1138</v>
      </c>
      <c r="D405" t="s">
        <v>35</v>
      </c>
      <c r="E405" t="s">
        <v>133</v>
      </c>
      <c r="F405" t="s">
        <v>1130</v>
      </c>
      <c r="M405" t="s">
        <v>282</v>
      </c>
      <c r="O405" t="s">
        <v>161</v>
      </c>
      <c r="Q405" t="s">
        <v>1139</v>
      </c>
      <c r="S405" t="s">
        <v>1044</v>
      </c>
      <c r="T405" t="s">
        <v>1140</v>
      </c>
    </row>
    <row r="406" spans="1:20" x14ac:dyDescent="0.2">
      <c r="A406" t="s">
        <v>1141</v>
      </c>
      <c r="B406" t="s">
        <v>1142</v>
      </c>
      <c r="C406" t="s">
        <v>1143</v>
      </c>
      <c r="D406" t="s">
        <v>61</v>
      </c>
      <c r="E406" t="s">
        <v>133</v>
      </c>
      <c r="F406" t="s">
        <v>1130</v>
      </c>
      <c r="K406" t="s">
        <v>1144</v>
      </c>
      <c r="M406" t="s">
        <v>282</v>
      </c>
      <c r="O406" t="s">
        <v>150</v>
      </c>
    </row>
    <row r="407" spans="1:20" x14ac:dyDescent="0.2">
      <c r="A407" t="s">
        <v>1145</v>
      </c>
      <c r="B407" t="s">
        <v>1146</v>
      </c>
      <c r="C407" t="s">
        <v>1147</v>
      </c>
      <c r="D407" t="s">
        <v>35</v>
      </c>
      <c r="E407" t="s">
        <v>133</v>
      </c>
      <c r="F407" t="s">
        <v>1130</v>
      </c>
      <c r="M407" t="s">
        <v>137</v>
      </c>
      <c r="O407" t="s">
        <v>511</v>
      </c>
      <c r="Q407" t="s">
        <v>1148</v>
      </c>
      <c r="S407" t="s">
        <v>1044</v>
      </c>
      <c r="T407" t="s">
        <v>1140</v>
      </c>
    </row>
    <row r="408" spans="1:20" x14ac:dyDescent="0.2">
      <c r="A408" t="s">
        <v>1149</v>
      </c>
      <c r="B408" t="s">
        <v>1150</v>
      </c>
      <c r="C408" t="s">
        <v>1151</v>
      </c>
      <c r="D408" t="s">
        <v>61</v>
      </c>
      <c r="E408" t="s">
        <v>133</v>
      </c>
      <c r="F408" t="s">
        <v>1130</v>
      </c>
      <c r="K408" t="s">
        <v>1152</v>
      </c>
      <c r="M408" t="s">
        <v>282</v>
      </c>
      <c r="O408" t="s">
        <v>161</v>
      </c>
      <c r="P408" t="s">
        <v>1153</v>
      </c>
    </row>
    <row r="409" spans="1:20" x14ac:dyDescent="0.2">
      <c r="A409" t="s">
        <v>1154</v>
      </c>
      <c r="B409" t="s">
        <v>1155</v>
      </c>
      <c r="C409" t="s">
        <v>1156</v>
      </c>
      <c r="D409" t="s">
        <v>35</v>
      </c>
      <c r="E409" t="s">
        <v>133</v>
      </c>
      <c r="F409" t="s">
        <v>1130</v>
      </c>
      <c r="M409" t="s">
        <v>282</v>
      </c>
      <c r="O409" t="s">
        <v>161</v>
      </c>
      <c r="Q409" t="s">
        <v>1157</v>
      </c>
      <c r="S409" t="s">
        <v>1044</v>
      </c>
      <c r="T409" t="s">
        <v>1140</v>
      </c>
    </row>
    <row r="410" spans="1:20" x14ac:dyDescent="0.2">
      <c r="A410" t="s">
        <v>1158</v>
      </c>
      <c r="B410" t="s">
        <v>1159</v>
      </c>
      <c r="C410" t="s">
        <v>1160</v>
      </c>
      <c r="D410" t="s">
        <v>61</v>
      </c>
      <c r="E410" t="s">
        <v>133</v>
      </c>
      <c r="F410" t="s">
        <v>1161</v>
      </c>
      <c r="K410" t="s">
        <v>1162</v>
      </c>
      <c r="M410" t="s">
        <v>282</v>
      </c>
      <c r="O410" t="s">
        <v>161</v>
      </c>
      <c r="P410" t="s">
        <v>1083</v>
      </c>
    </row>
    <row r="411" spans="1:20" x14ac:dyDescent="0.2">
      <c r="A411" t="s">
        <v>1163</v>
      </c>
      <c r="B411" t="s">
        <v>1164</v>
      </c>
      <c r="C411" t="s">
        <v>1165</v>
      </c>
      <c r="D411" t="s">
        <v>61</v>
      </c>
      <c r="E411" t="s">
        <v>133</v>
      </c>
      <c r="F411" t="s">
        <v>1161</v>
      </c>
      <c r="K411" t="s">
        <v>1166</v>
      </c>
      <c r="M411" t="s">
        <v>282</v>
      </c>
      <c r="O411" t="s">
        <v>161</v>
      </c>
      <c r="P411">
        <v>4505015</v>
      </c>
    </row>
    <row r="412" spans="1:20" x14ac:dyDescent="0.2">
      <c r="A412" t="s">
        <v>1167</v>
      </c>
      <c r="B412" t="s">
        <v>1168</v>
      </c>
      <c r="C412" t="s">
        <v>1169</v>
      </c>
      <c r="D412" t="s">
        <v>35</v>
      </c>
      <c r="E412" t="s">
        <v>133</v>
      </c>
      <c r="F412" t="s">
        <v>1161</v>
      </c>
      <c r="M412" t="s">
        <v>282</v>
      </c>
      <c r="O412" t="s">
        <v>161</v>
      </c>
      <c r="Q412" t="s">
        <v>1170</v>
      </c>
      <c r="S412" t="s">
        <v>1044</v>
      </c>
      <c r="T412" t="s">
        <v>1140</v>
      </c>
    </row>
    <row r="413" spans="1:20" x14ac:dyDescent="0.2">
      <c r="A413" t="s">
        <v>1171</v>
      </c>
      <c r="B413" t="s">
        <v>1172</v>
      </c>
      <c r="C413" t="s">
        <v>1173</v>
      </c>
      <c r="D413" t="s">
        <v>61</v>
      </c>
      <c r="E413" t="s">
        <v>133</v>
      </c>
      <c r="F413" t="s">
        <v>1161</v>
      </c>
      <c r="K413" t="s">
        <v>1174</v>
      </c>
      <c r="M413" t="s">
        <v>282</v>
      </c>
      <c r="O413" t="s">
        <v>161</v>
      </c>
      <c r="P413" t="s">
        <v>1153</v>
      </c>
    </row>
    <row r="414" spans="1:20" x14ac:dyDescent="0.2">
      <c r="A414" t="s">
        <v>1175</v>
      </c>
      <c r="B414" t="s">
        <v>1176</v>
      </c>
      <c r="C414" t="s">
        <v>1177</v>
      </c>
      <c r="D414" t="s">
        <v>35</v>
      </c>
      <c r="E414" t="s">
        <v>133</v>
      </c>
      <c r="F414" t="s">
        <v>1161</v>
      </c>
      <c r="M414" t="s">
        <v>282</v>
      </c>
      <c r="O414" t="s">
        <v>161</v>
      </c>
      <c r="Q414" t="s">
        <v>1178</v>
      </c>
      <c r="S414" t="s">
        <v>1044</v>
      </c>
      <c r="T414" t="s">
        <v>1140</v>
      </c>
    </row>
    <row r="415" spans="1:20" x14ac:dyDescent="0.2">
      <c r="A415" t="s">
        <v>1179</v>
      </c>
      <c r="B415" t="s">
        <v>1180</v>
      </c>
      <c r="C415" t="s">
        <v>1181</v>
      </c>
      <c r="D415" t="s">
        <v>61</v>
      </c>
      <c r="E415" t="s">
        <v>133</v>
      </c>
      <c r="F415" t="s">
        <v>133</v>
      </c>
      <c r="K415" t="s">
        <v>1182</v>
      </c>
      <c r="M415" t="s">
        <v>137</v>
      </c>
      <c r="O415" t="s">
        <v>150</v>
      </c>
    </row>
    <row r="416" spans="1:20" x14ac:dyDescent="0.2">
      <c r="A416" t="s">
        <v>1183</v>
      </c>
      <c r="B416" t="s">
        <v>1184</v>
      </c>
      <c r="C416" t="s">
        <v>1185</v>
      </c>
      <c r="D416" t="s">
        <v>61</v>
      </c>
      <c r="E416" t="s">
        <v>133</v>
      </c>
      <c r="F416" t="s">
        <v>133</v>
      </c>
      <c r="K416" t="s">
        <v>1186</v>
      </c>
      <c r="M416" t="s">
        <v>137</v>
      </c>
      <c r="O416" t="s">
        <v>150</v>
      </c>
    </row>
    <row r="417" spans="1:20" x14ac:dyDescent="0.2">
      <c r="A417" t="s">
        <v>1187</v>
      </c>
      <c r="B417" t="s">
        <v>1188</v>
      </c>
      <c r="C417" t="s">
        <v>1189</v>
      </c>
      <c r="D417" t="s">
        <v>61</v>
      </c>
      <c r="E417" t="s">
        <v>133</v>
      </c>
      <c r="F417" t="s">
        <v>1081</v>
      </c>
      <c r="K417" t="s">
        <v>1190</v>
      </c>
      <c r="L417" t="s">
        <v>160</v>
      </c>
      <c r="M417" t="s">
        <v>137</v>
      </c>
      <c r="O417" t="s">
        <v>150</v>
      </c>
    </row>
    <row r="418" spans="1:20" x14ac:dyDescent="0.2">
      <c r="A418" t="s">
        <v>1191</v>
      </c>
      <c r="B418" t="s">
        <v>1192</v>
      </c>
      <c r="C418" t="s">
        <v>1193</v>
      </c>
      <c r="D418" t="s">
        <v>61</v>
      </c>
      <c r="E418" t="s">
        <v>133</v>
      </c>
      <c r="F418" t="s">
        <v>133</v>
      </c>
      <c r="K418" t="s">
        <v>1054</v>
      </c>
      <c r="M418" t="s">
        <v>282</v>
      </c>
      <c r="O418" t="s">
        <v>161</v>
      </c>
      <c r="P418">
        <v>4501010</v>
      </c>
    </row>
    <row r="419" spans="1:20" x14ac:dyDescent="0.2">
      <c r="A419" t="s">
        <v>1194</v>
      </c>
      <c r="B419" t="s">
        <v>1195</v>
      </c>
      <c r="C419" t="s">
        <v>1196</v>
      </c>
      <c r="D419" t="s">
        <v>61</v>
      </c>
      <c r="E419" t="s">
        <v>133</v>
      </c>
      <c r="F419" t="s">
        <v>133</v>
      </c>
      <c r="K419" t="s">
        <v>1197</v>
      </c>
      <c r="M419" t="s">
        <v>282</v>
      </c>
      <c r="O419" t="s">
        <v>161</v>
      </c>
      <c r="Q419" t="s">
        <v>1197</v>
      </c>
    </row>
    <row r="420" spans="1:20" x14ac:dyDescent="0.2">
      <c r="A420" t="s">
        <v>1198</v>
      </c>
      <c r="B420" t="s">
        <v>1199</v>
      </c>
      <c r="C420" t="s">
        <v>1200</v>
      </c>
      <c r="D420" t="s">
        <v>61</v>
      </c>
      <c r="E420" t="s">
        <v>133</v>
      </c>
      <c r="F420" t="s">
        <v>133</v>
      </c>
      <c r="K420" t="s">
        <v>1201</v>
      </c>
      <c r="M420" t="s">
        <v>282</v>
      </c>
      <c r="O420" t="s">
        <v>161</v>
      </c>
      <c r="Q420" t="s">
        <v>1201</v>
      </c>
    </row>
    <row r="421" spans="1:20" x14ac:dyDescent="0.2">
      <c r="A421" t="s">
        <v>1202</v>
      </c>
      <c r="B421" t="s">
        <v>1203</v>
      </c>
      <c r="C421" t="s">
        <v>1204</v>
      </c>
      <c r="D421" t="s">
        <v>61</v>
      </c>
      <c r="E421" t="s">
        <v>133</v>
      </c>
      <c r="F421" t="s">
        <v>133</v>
      </c>
      <c r="K421" t="s">
        <v>1205</v>
      </c>
      <c r="M421" t="s">
        <v>137</v>
      </c>
      <c r="O421" t="s">
        <v>150</v>
      </c>
      <c r="Q421" t="s">
        <v>1205</v>
      </c>
    </row>
    <row r="422" spans="1:20" x14ac:dyDescent="0.2">
      <c r="A422" t="s">
        <v>1206</v>
      </c>
      <c r="B422" t="s">
        <v>1207</v>
      </c>
      <c r="C422" t="s">
        <v>1208</v>
      </c>
      <c r="D422" t="s">
        <v>61</v>
      </c>
      <c r="E422" t="s">
        <v>133</v>
      </c>
      <c r="F422" t="s">
        <v>1063</v>
      </c>
      <c r="K422" t="s">
        <v>1209</v>
      </c>
      <c r="L422" t="s">
        <v>160</v>
      </c>
      <c r="M422" t="s">
        <v>137</v>
      </c>
      <c r="O422" t="s">
        <v>150</v>
      </c>
    </row>
    <row r="423" spans="1:20" x14ac:dyDescent="0.2">
      <c r="A423" t="s">
        <v>1210</v>
      </c>
      <c r="B423" t="s">
        <v>1211</v>
      </c>
      <c r="C423" t="s">
        <v>1212</v>
      </c>
      <c r="D423" t="s">
        <v>61</v>
      </c>
      <c r="E423" t="s">
        <v>133</v>
      </c>
      <c r="F423" t="s">
        <v>1081</v>
      </c>
      <c r="K423" t="s">
        <v>1209</v>
      </c>
      <c r="L423" t="s">
        <v>160</v>
      </c>
      <c r="M423" t="s">
        <v>137</v>
      </c>
      <c r="O423" t="s">
        <v>150</v>
      </c>
    </row>
    <row r="424" spans="1:20" x14ac:dyDescent="0.2">
      <c r="A424" t="s">
        <v>1213</v>
      </c>
      <c r="B424" t="s">
        <v>1214</v>
      </c>
      <c r="C424" t="s">
        <v>1215</v>
      </c>
      <c r="D424" t="s">
        <v>61</v>
      </c>
      <c r="E424" t="s">
        <v>133</v>
      </c>
      <c r="F424" t="s">
        <v>133</v>
      </c>
      <c r="G424" t="s">
        <v>1042</v>
      </c>
      <c r="K424" t="s">
        <v>78</v>
      </c>
      <c r="M424" t="s">
        <v>137</v>
      </c>
      <c r="O424" t="s">
        <v>150</v>
      </c>
    </row>
    <row r="425" spans="1:20" x14ac:dyDescent="0.2">
      <c r="A425" t="s">
        <v>1216</v>
      </c>
      <c r="B425" t="s">
        <v>1217</v>
      </c>
      <c r="C425" t="s">
        <v>1218</v>
      </c>
      <c r="D425" t="s">
        <v>35</v>
      </c>
      <c r="E425" t="s">
        <v>133</v>
      </c>
      <c r="F425" t="s">
        <v>133</v>
      </c>
      <c r="G425" t="s">
        <v>133</v>
      </c>
      <c r="H425" t="s">
        <v>133</v>
      </c>
      <c r="I425" t="s">
        <v>133</v>
      </c>
      <c r="M425" t="s">
        <v>282</v>
      </c>
      <c r="O425" t="s">
        <v>161</v>
      </c>
      <c r="R425" t="s">
        <v>1219</v>
      </c>
      <c r="S425" t="s">
        <v>1220</v>
      </c>
      <c r="T425" t="s">
        <v>487</v>
      </c>
    </row>
    <row r="426" spans="1:20" x14ac:dyDescent="0.2">
      <c r="A426" t="s">
        <v>1221</v>
      </c>
      <c r="B426" t="s">
        <v>1222</v>
      </c>
      <c r="C426" t="s">
        <v>1223</v>
      </c>
      <c r="D426" t="s">
        <v>35</v>
      </c>
      <c r="E426" t="s">
        <v>133</v>
      </c>
      <c r="F426" t="s">
        <v>133</v>
      </c>
      <c r="G426" t="s">
        <v>133</v>
      </c>
      <c r="H426" t="s">
        <v>133</v>
      </c>
      <c r="I426" t="s">
        <v>133</v>
      </c>
      <c r="M426" t="s">
        <v>282</v>
      </c>
      <c r="O426" t="s">
        <v>161</v>
      </c>
      <c r="R426" t="s">
        <v>1219</v>
      </c>
      <c r="S426" t="s">
        <v>1220</v>
      </c>
      <c r="T426" t="s">
        <v>487</v>
      </c>
    </row>
    <row r="427" spans="1:20" x14ac:dyDescent="0.2">
      <c r="A427" t="s">
        <v>1224</v>
      </c>
      <c r="B427" t="s">
        <v>1225</v>
      </c>
      <c r="C427" t="s">
        <v>1226</v>
      </c>
      <c r="D427" t="s">
        <v>35</v>
      </c>
      <c r="E427" t="s">
        <v>133</v>
      </c>
      <c r="F427" t="s">
        <v>133</v>
      </c>
      <c r="G427" t="s">
        <v>133</v>
      </c>
      <c r="H427" t="s">
        <v>133</v>
      </c>
      <c r="I427" t="s">
        <v>133</v>
      </c>
      <c r="M427" t="s">
        <v>282</v>
      </c>
      <c r="O427" t="s">
        <v>161</v>
      </c>
      <c r="R427" t="s">
        <v>1219</v>
      </c>
      <c r="S427" t="s">
        <v>1220</v>
      </c>
      <c r="T427" t="s">
        <v>487</v>
      </c>
    </row>
    <row r="428" spans="1:20" x14ac:dyDescent="0.2">
      <c r="A428" t="s">
        <v>1227</v>
      </c>
      <c r="B428" t="s">
        <v>1228</v>
      </c>
      <c r="C428" t="s">
        <v>1229</v>
      </c>
      <c r="D428" t="s">
        <v>35</v>
      </c>
      <c r="E428" t="s">
        <v>133</v>
      </c>
      <c r="F428" t="s">
        <v>133</v>
      </c>
      <c r="G428" t="s">
        <v>133</v>
      </c>
      <c r="H428" t="s">
        <v>133</v>
      </c>
      <c r="I428" t="s">
        <v>133</v>
      </c>
      <c r="M428" t="s">
        <v>282</v>
      </c>
      <c r="O428" t="s">
        <v>161</v>
      </c>
      <c r="R428" t="s">
        <v>1219</v>
      </c>
      <c r="S428" t="s">
        <v>1220</v>
      </c>
      <c r="T428" t="s">
        <v>487</v>
      </c>
    </row>
    <row r="429" spans="1:20" x14ac:dyDescent="0.2">
      <c r="A429" t="s">
        <v>1230</v>
      </c>
      <c r="B429" t="s">
        <v>1231</v>
      </c>
      <c r="C429" t="s">
        <v>1232</v>
      </c>
      <c r="D429" t="s">
        <v>35</v>
      </c>
      <c r="E429" t="s">
        <v>133</v>
      </c>
      <c r="F429" t="s">
        <v>133</v>
      </c>
      <c r="G429" t="s">
        <v>133</v>
      </c>
      <c r="H429" t="s">
        <v>133</v>
      </c>
      <c r="I429" t="s">
        <v>133</v>
      </c>
      <c r="M429" t="s">
        <v>282</v>
      </c>
      <c r="O429" t="s">
        <v>161</v>
      </c>
      <c r="R429" t="s">
        <v>1219</v>
      </c>
      <c r="S429" t="s">
        <v>1220</v>
      </c>
      <c r="T429" t="s">
        <v>487</v>
      </c>
    </row>
    <row r="430" spans="1:20" x14ac:dyDescent="0.2">
      <c r="A430" t="s">
        <v>1233</v>
      </c>
      <c r="B430" t="s">
        <v>1234</v>
      </c>
      <c r="C430" t="s">
        <v>1235</v>
      </c>
      <c r="D430" t="s">
        <v>35</v>
      </c>
      <c r="E430" t="s">
        <v>133</v>
      </c>
      <c r="F430" t="s">
        <v>133</v>
      </c>
      <c r="G430" t="s">
        <v>133</v>
      </c>
      <c r="H430" t="s">
        <v>133</v>
      </c>
      <c r="I430" t="s">
        <v>133</v>
      </c>
      <c r="M430" t="s">
        <v>282</v>
      </c>
      <c r="O430" t="s">
        <v>161</v>
      </c>
      <c r="R430" t="s">
        <v>1219</v>
      </c>
      <c r="S430" t="s">
        <v>1220</v>
      </c>
      <c r="T430" t="s">
        <v>487</v>
      </c>
    </row>
    <row r="431" spans="1:20" x14ac:dyDescent="0.2">
      <c r="A431" t="s">
        <v>1236</v>
      </c>
      <c r="B431" t="s">
        <v>1237</v>
      </c>
      <c r="C431" t="s">
        <v>1238</v>
      </c>
      <c r="D431" t="s">
        <v>35</v>
      </c>
      <c r="E431" t="s">
        <v>133</v>
      </c>
      <c r="F431" t="s">
        <v>133</v>
      </c>
      <c r="G431" t="s">
        <v>133</v>
      </c>
      <c r="H431" t="s">
        <v>133</v>
      </c>
      <c r="I431" t="s">
        <v>133</v>
      </c>
      <c r="M431" t="s">
        <v>282</v>
      </c>
      <c r="O431" t="s">
        <v>161</v>
      </c>
      <c r="R431" t="s">
        <v>1219</v>
      </c>
      <c r="S431" t="s">
        <v>1220</v>
      </c>
      <c r="T431" t="s">
        <v>487</v>
      </c>
    </row>
    <row r="432" spans="1:20" x14ac:dyDescent="0.2">
      <c r="A432" t="s">
        <v>1239</v>
      </c>
      <c r="B432" t="s">
        <v>1240</v>
      </c>
      <c r="C432" t="s">
        <v>1241</v>
      </c>
      <c r="D432" t="s">
        <v>35</v>
      </c>
      <c r="E432" t="s">
        <v>133</v>
      </c>
      <c r="F432" t="s">
        <v>133</v>
      </c>
      <c r="G432" t="s">
        <v>133</v>
      </c>
      <c r="H432" t="s">
        <v>133</v>
      </c>
      <c r="I432" t="s">
        <v>133</v>
      </c>
      <c r="M432" t="s">
        <v>282</v>
      </c>
      <c r="O432" t="s">
        <v>161</v>
      </c>
      <c r="R432" t="s">
        <v>1219</v>
      </c>
      <c r="S432" t="s">
        <v>1220</v>
      </c>
      <c r="T432" t="s">
        <v>487</v>
      </c>
    </row>
    <row r="433" spans="1:20" x14ac:dyDescent="0.2">
      <c r="A433" t="s">
        <v>1242</v>
      </c>
      <c r="B433" t="s">
        <v>1243</v>
      </c>
      <c r="C433" t="s">
        <v>1244</v>
      </c>
      <c r="D433" t="s">
        <v>35</v>
      </c>
      <c r="E433" t="s">
        <v>133</v>
      </c>
      <c r="F433" t="s">
        <v>133</v>
      </c>
      <c r="G433" t="s">
        <v>133</v>
      </c>
      <c r="H433" t="s">
        <v>133</v>
      </c>
      <c r="I433" t="s">
        <v>133</v>
      </c>
      <c r="M433" t="s">
        <v>282</v>
      </c>
      <c r="O433" t="s">
        <v>161</v>
      </c>
      <c r="R433" t="s">
        <v>1219</v>
      </c>
      <c r="S433" t="s">
        <v>1220</v>
      </c>
      <c r="T433" t="s">
        <v>487</v>
      </c>
    </row>
    <row r="434" spans="1:20" x14ac:dyDescent="0.2">
      <c r="A434" t="s">
        <v>1245</v>
      </c>
      <c r="B434" t="s">
        <v>1246</v>
      </c>
      <c r="C434" t="s">
        <v>1247</v>
      </c>
      <c r="D434" t="s">
        <v>35</v>
      </c>
      <c r="E434" t="s">
        <v>133</v>
      </c>
      <c r="F434" t="s">
        <v>133</v>
      </c>
      <c r="G434" t="s">
        <v>133</v>
      </c>
      <c r="H434" t="s">
        <v>133</v>
      </c>
      <c r="I434" t="s">
        <v>133</v>
      </c>
      <c r="M434" t="s">
        <v>282</v>
      </c>
      <c r="O434" t="s">
        <v>161</v>
      </c>
      <c r="R434" t="s">
        <v>1219</v>
      </c>
      <c r="S434" t="s">
        <v>1220</v>
      </c>
      <c r="T434" t="s">
        <v>487</v>
      </c>
    </row>
    <row r="435" spans="1:20" x14ac:dyDescent="0.2">
      <c r="A435" t="s">
        <v>1248</v>
      </c>
      <c r="B435" t="s">
        <v>1249</v>
      </c>
      <c r="C435" t="s">
        <v>1250</v>
      </c>
      <c r="D435" t="s">
        <v>35</v>
      </c>
      <c r="E435" t="s">
        <v>133</v>
      </c>
      <c r="F435" t="s">
        <v>133</v>
      </c>
      <c r="G435" t="s">
        <v>133</v>
      </c>
      <c r="H435" t="s">
        <v>133</v>
      </c>
      <c r="I435" t="s">
        <v>133</v>
      </c>
      <c r="M435" t="s">
        <v>282</v>
      </c>
      <c r="O435" t="s">
        <v>161</v>
      </c>
      <c r="R435" t="s">
        <v>1219</v>
      </c>
      <c r="S435" t="s">
        <v>1220</v>
      </c>
      <c r="T435" t="s">
        <v>487</v>
      </c>
    </row>
    <row r="436" spans="1:20" x14ac:dyDescent="0.2">
      <c r="A436" t="s">
        <v>1251</v>
      </c>
      <c r="B436" t="s">
        <v>1252</v>
      </c>
      <c r="C436" t="s">
        <v>1253</v>
      </c>
      <c r="D436" t="s">
        <v>35</v>
      </c>
      <c r="E436" t="s">
        <v>133</v>
      </c>
      <c r="F436" t="s">
        <v>133</v>
      </c>
      <c r="G436" t="s">
        <v>133</v>
      </c>
      <c r="H436" t="s">
        <v>133</v>
      </c>
      <c r="I436" t="s">
        <v>133</v>
      </c>
      <c r="M436" t="s">
        <v>282</v>
      </c>
      <c r="O436" t="s">
        <v>161</v>
      </c>
      <c r="R436" t="s">
        <v>1219</v>
      </c>
      <c r="S436" t="s">
        <v>1220</v>
      </c>
      <c r="T436" t="s">
        <v>487</v>
      </c>
    </row>
    <row r="437" spans="1:20" x14ac:dyDescent="0.2">
      <c r="A437" t="s">
        <v>1254</v>
      </c>
      <c r="B437" t="s">
        <v>1255</v>
      </c>
      <c r="C437" t="s">
        <v>1256</v>
      </c>
      <c r="D437" t="s">
        <v>35</v>
      </c>
      <c r="E437" t="s">
        <v>133</v>
      </c>
      <c r="F437" t="s">
        <v>133</v>
      </c>
      <c r="G437" t="s">
        <v>133</v>
      </c>
      <c r="H437" t="s">
        <v>133</v>
      </c>
      <c r="I437" t="s">
        <v>133</v>
      </c>
      <c r="M437" t="s">
        <v>282</v>
      </c>
      <c r="O437" t="s">
        <v>161</v>
      </c>
      <c r="R437" t="s">
        <v>1219</v>
      </c>
      <c r="S437" t="s">
        <v>1220</v>
      </c>
      <c r="T437" t="s">
        <v>487</v>
      </c>
    </row>
    <row r="438" spans="1:20" x14ac:dyDescent="0.2">
      <c r="A438" t="s">
        <v>1257</v>
      </c>
      <c r="B438" t="s">
        <v>1258</v>
      </c>
      <c r="C438" t="s">
        <v>1259</v>
      </c>
      <c r="D438" t="s">
        <v>35</v>
      </c>
      <c r="E438" t="s">
        <v>133</v>
      </c>
      <c r="F438" t="s">
        <v>133</v>
      </c>
      <c r="G438" t="s">
        <v>133</v>
      </c>
      <c r="H438" t="s">
        <v>133</v>
      </c>
      <c r="I438" t="s">
        <v>133</v>
      </c>
      <c r="M438" t="s">
        <v>282</v>
      </c>
      <c r="O438" t="s">
        <v>161</v>
      </c>
      <c r="R438" t="s">
        <v>1219</v>
      </c>
      <c r="S438" t="s">
        <v>1220</v>
      </c>
      <c r="T438" t="s">
        <v>487</v>
      </c>
    </row>
    <row r="439" spans="1:20" x14ac:dyDescent="0.2">
      <c r="A439" t="s">
        <v>1260</v>
      </c>
      <c r="B439" t="s">
        <v>1261</v>
      </c>
      <c r="C439" t="s">
        <v>1262</v>
      </c>
      <c r="D439" t="s">
        <v>35</v>
      </c>
      <c r="E439" t="s">
        <v>133</v>
      </c>
      <c r="F439" t="s">
        <v>133</v>
      </c>
      <c r="G439" t="s">
        <v>133</v>
      </c>
      <c r="H439" t="s">
        <v>133</v>
      </c>
      <c r="I439" t="s">
        <v>133</v>
      </c>
      <c r="M439" t="s">
        <v>282</v>
      </c>
      <c r="O439" t="s">
        <v>161</v>
      </c>
      <c r="R439" t="s">
        <v>1219</v>
      </c>
      <c r="S439" t="s">
        <v>1220</v>
      </c>
      <c r="T439" t="s">
        <v>487</v>
      </c>
    </row>
    <row r="440" spans="1:20" x14ac:dyDescent="0.2">
      <c r="A440" t="s">
        <v>1263</v>
      </c>
      <c r="B440" t="s">
        <v>1264</v>
      </c>
      <c r="C440" t="s">
        <v>1265</v>
      </c>
      <c r="D440" t="s">
        <v>35</v>
      </c>
      <c r="E440" t="s">
        <v>133</v>
      </c>
      <c r="F440" t="s">
        <v>133</v>
      </c>
      <c r="G440" t="s">
        <v>133</v>
      </c>
      <c r="H440" t="s">
        <v>133</v>
      </c>
      <c r="I440" t="s">
        <v>133</v>
      </c>
      <c r="M440" t="s">
        <v>282</v>
      </c>
      <c r="O440" t="s">
        <v>161</v>
      </c>
      <c r="R440" t="s">
        <v>1219</v>
      </c>
      <c r="S440" t="s">
        <v>1220</v>
      </c>
      <c r="T440" t="s">
        <v>487</v>
      </c>
    </row>
    <row r="441" spans="1:20" x14ac:dyDescent="0.2">
      <c r="A441" t="s">
        <v>1266</v>
      </c>
      <c r="B441" t="s">
        <v>1267</v>
      </c>
      <c r="C441" t="s">
        <v>1268</v>
      </c>
      <c r="D441" t="s">
        <v>35</v>
      </c>
      <c r="E441" t="s">
        <v>133</v>
      </c>
      <c r="F441" t="s">
        <v>133</v>
      </c>
      <c r="G441" t="s">
        <v>133</v>
      </c>
      <c r="H441" t="s">
        <v>133</v>
      </c>
      <c r="I441" t="s">
        <v>133</v>
      </c>
      <c r="K441" t="s">
        <v>573</v>
      </c>
      <c r="M441" t="s">
        <v>282</v>
      </c>
      <c r="O441" t="s">
        <v>161</v>
      </c>
      <c r="R441" t="s">
        <v>1219</v>
      </c>
      <c r="S441" t="s">
        <v>1220</v>
      </c>
      <c r="T441" t="s">
        <v>487</v>
      </c>
    </row>
    <row r="442" spans="1:20" x14ac:dyDescent="0.2">
      <c r="A442" t="s">
        <v>1269</v>
      </c>
      <c r="B442" t="s">
        <v>1270</v>
      </c>
      <c r="C442" t="s">
        <v>1271</v>
      </c>
      <c r="D442" t="s">
        <v>35</v>
      </c>
      <c r="E442" t="s">
        <v>133</v>
      </c>
      <c r="F442" t="s">
        <v>133</v>
      </c>
      <c r="G442" t="s">
        <v>133</v>
      </c>
      <c r="H442" t="s">
        <v>133</v>
      </c>
      <c r="I442" t="s">
        <v>133</v>
      </c>
      <c r="M442" t="s">
        <v>282</v>
      </c>
      <c r="O442" t="s">
        <v>161</v>
      </c>
      <c r="R442" t="s">
        <v>1219</v>
      </c>
      <c r="S442" t="s">
        <v>1220</v>
      </c>
      <c r="T442" t="s">
        <v>487</v>
      </c>
    </row>
    <row r="443" spans="1:20" x14ac:dyDescent="0.2">
      <c r="A443" t="s">
        <v>1272</v>
      </c>
      <c r="B443" t="s">
        <v>1273</v>
      </c>
      <c r="C443" t="s">
        <v>1274</v>
      </c>
      <c r="D443" t="s">
        <v>35</v>
      </c>
      <c r="E443" t="s">
        <v>133</v>
      </c>
      <c r="F443" t="s">
        <v>133</v>
      </c>
      <c r="G443" t="s">
        <v>133</v>
      </c>
      <c r="H443" t="s">
        <v>133</v>
      </c>
      <c r="I443" t="s">
        <v>133</v>
      </c>
      <c r="M443" t="s">
        <v>282</v>
      </c>
      <c r="O443" t="s">
        <v>161</v>
      </c>
      <c r="R443" t="s">
        <v>1219</v>
      </c>
      <c r="S443" t="s">
        <v>1220</v>
      </c>
      <c r="T443" t="s">
        <v>487</v>
      </c>
    </row>
    <row r="444" spans="1:20" x14ac:dyDescent="0.2">
      <c r="A444" t="s">
        <v>1275</v>
      </c>
      <c r="B444" t="s">
        <v>1276</v>
      </c>
      <c r="C444" t="s">
        <v>1277</v>
      </c>
      <c r="D444" t="s">
        <v>35</v>
      </c>
      <c r="E444" t="s">
        <v>133</v>
      </c>
      <c r="F444" t="s">
        <v>133</v>
      </c>
      <c r="G444" t="s">
        <v>133</v>
      </c>
      <c r="H444" t="s">
        <v>133</v>
      </c>
      <c r="I444" t="s">
        <v>133</v>
      </c>
      <c r="M444" t="s">
        <v>282</v>
      </c>
      <c r="O444" t="s">
        <v>161</v>
      </c>
      <c r="R444" t="s">
        <v>1219</v>
      </c>
      <c r="S444" t="s">
        <v>1220</v>
      </c>
      <c r="T444" t="s">
        <v>487</v>
      </c>
    </row>
    <row r="445" spans="1:20" x14ac:dyDescent="0.2">
      <c r="A445" t="s">
        <v>1278</v>
      </c>
      <c r="B445" t="s">
        <v>1279</v>
      </c>
      <c r="C445" t="s">
        <v>1280</v>
      </c>
      <c r="D445" t="s">
        <v>35</v>
      </c>
      <c r="E445" t="s">
        <v>133</v>
      </c>
      <c r="F445" t="s">
        <v>133</v>
      </c>
      <c r="G445" t="s">
        <v>133</v>
      </c>
      <c r="H445" t="s">
        <v>133</v>
      </c>
      <c r="I445" t="s">
        <v>133</v>
      </c>
      <c r="M445" t="s">
        <v>282</v>
      </c>
      <c r="O445" t="s">
        <v>161</v>
      </c>
      <c r="R445" t="s">
        <v>1219</v>
      </c>
      <c r="S445" t="s">
        <v>1220</v>
      </c>
      <c r="T445" t="s">
        <v>487</v>
      </c>
    </row>
    <row r="446" spans="1:20" x14ac:dyDescent="0.2">
      <c r="A446" t="s">
        <v>1281</v>
      </c>
      <c r="B446" t="s">
        <v>1282</v>
      </c>
      <c r="C446" t="s">
        <v>1283</v>
      </c>
      <c r="D446" t="s">
        <v>35</v>
      </c>
      <c r="E446" t="s">
        <v>133</v>
      </c>
      <c r="F446" t="s">
        <v>133</v>
      </c>
      <c r="G446" t="s">
        <v>133</v>
      </c>
      <c r="H446" t="s">
        <v>133</v>
      </c>
      <c r="I446" t="s">
        <v>133</v>
      </c>
      <c r="M446" t="s">
        <v>282</v>
      </c>
      <c r="O446" t="s">
        <v>161</v>
      </c>
      <c r="R446" t="s">
        <v>1219</v>
      </c>
      <c r="S446" t="s">
        <v>1220</v>
      </c>
      <c r="T446" t="s">
        <v>487</v>
      </c>
    </row>
    <row r="447" spans="1:20" x14ac:dyDescent="0.2">
      <c r="A447" t="s">
        <v>1284</v>
      </c>
      <c r="B447" t="s">
        <v>1285</v>
      </c>
      <c r="C447" t="s">
        <v>1286</v>
      </c>
      <c r="D447" t="s">
        <v>35</v>
      </c>
      <c r="E447" t="s">
        <v>133</v>
      </c>
      <c r="F447" t="s">
        <v>133</v>
      </c>
      <c r="G447" t="s">
        <v>133</v>
      </c>
      <c r="H447" t="s">
        <v>133</v>
      </c>
      <c r="I447" t="s">
        <v>133</v>
      </c>
      <c r="M447" t="s">
        <v>282</v>
      </c>
      <c r="O447" t="s">
        <v>161</v>
      </c>
      <c r="R447" t="s">
        <v>1219</v>
      </c>
      <c r="S447" t="s">
        <v>1220</v>
      </c>
      <c r="T447" t="s">
        <v>487</v>
      </c>
    </row>
    <row r="448" spans="1:20" x14ac:dyDescent="0.2">
      <c r="A448" t="s">
        <v>1287</v>
      </c>
      <c r="B448" t="s">
        <v>1288</v>
      </c>
      <c r="C448" t="s">
        <v>1289</v>
      </c>
      <c r="D448" t="s">
        <v>35</v>
      </c>
      <c r="E448" t="s">
        <v>133</v>
      </c>
      <c r="F448" t="s">
        <v>133</v>
      </c>
      <c r="G448" t="s">
        <v>133</v>
      </c>
      <c r="H448" t="s">
        <v>133</v>
      </c>
      <c r="I448" t="s">
        <v>133</v>
      </c>
      <c r="M448" t="s">
        <v>282</v>
      </c>
      <c r="O448" t="s">
        <v>161</v>
      </c>
      <c r="R448" t="s">
        <v>1219</v>
      </c>
      <c r="S448" t="s">
        <v>1220</v>
      </c>
      <c r="T448" t="s">
        <v>487</v>
      </c>
    </row>
    <row r="449" spans="1:20" x14ac:dyDescent="0.2">
      <c r="A449" t="s">
        <v>1290</v>
      </c>
      <c r="B449" t="s">
        <v>1291</v>
      </c>
      <c r="C449" t="s">
        <v>1292</v>
      </c>
      <c r="D449" t="s">
        <v>35</v>
      </c>
      <c r="E449" t="s">
        <v>133</v>
      </c>
      <c r="F449" t="s">
        <v>133</v>
      </c>
      <c r="G449" t="s">
        <v>133</v>
      </c>
      <c r="H449" t="s">
        <v>133</v>
      </c>
      <c r="I449" t="s">
        <v>133</v>
      </c>
      <c r="M449" t="s">
        <v>282</v>
      </c>
      <c r="O449" t="s">
        <v>161</v>
      </c>
      <c r="R449" t="s">
        <v>1219</v>
      </c>
      <c r="S449" t="s">
        <v>1220</v>
      </c>
      <c r="T449" t="s">
        <v>487</v>
      </c>
    </row>
    <row r="450" spans="1:20" x14ac:dyDescent="0.2">
      <c r="A450" t="s">
        <v>1293</v>
      </c>
      <c r="B450" t="s">
        <v>1294</v>
      </c>
      <c r="C450" t="s">
        <v>1295</v>
      </c>
      <c r="D450" t="s">
        <v>35</v>
      </c>
      <c r="E450" t="s">
        <v>133</v>
      </c>
      <c r="F450" t="s">
        <v>133</v>
      </c>
      <c r="G450" t="s">
        <v>133</v>
      </c>
      <c r="H450" t="s">
        <v>133</v>
      </c>
      <c r="I450" t="s">
        <v>133</v>
      </c>
      <c r="M450" t="s">
        <v>282</v>
      </c>
      <c r="O450" t="s">
        <v>161</v>
      </c>
      <c r="R450" t="s">
        <v>1219</v>
      </c>
      <c r="S450" t="s">
        <v>1220</v>
      </c>
      <c r="T450" t="s">
        <v>487</v>
      </c>
    </row>
    <row r="451" spans="1:20" x14ac:dyDescent="0.2">
      <c r="A451" t="s">
        <v>1296</v>
      </c>
      <c r="B451" t="s">
        <v>1297</v>
      </c>
      <c r="C451" t="s">
        <v>1298</v>
      </c>
      <c r="D451" t="s">
        <v>35</v>
      </c>
      <c r="E451" t="s">
        <v>133</v>
      </c>
      <c r="F451" t="s">
        <v>133</v>
      </c>
      <c r="G451" t="s">
        <v>133</v>
      </c>
      <c r="H451" t="s">
        <v>133</v>
      </c>
      <c r="I451" t="s">
        <v>133</v>
      </c>
      <c r="M451" t="s">
        <v>282</v>
      </c>
      <c r="O451" t="s">
        <v>161</v>
      </c>
      <c r="R451" t="s">
        <v>1219</v>
      </c>
      <c r="S451" t="s">
        <v>1220</v>
      </c>
      <c r="T451" t="s">
        <v>487</v>
      </c>
    </row>
    <row r="452" spans="1:20" x14ac:dyDescent="0.2">
      <c r="A452" t="s">
        <v>1299</v>
      </c>
      <c r="B452" t="s">
        <v>1300</v>
      </c>
      <c r="C452" t="s">
        <v>1301</v>
      </c>
      <c r="D452" t="s">
        <v>35</v>
      </c>
      <c r="E452" t="s">
        <v>133</v>
      </c>
      <c r="F452" t="s">
        <v>133</v>
      </c>
      <c r="G452" t="s">
        <v>133</v>
      </c>
      <c r="H452" t="s">
        <v>133</v>
      </c>
      <c r="I452" t="s">
        <v>133</v>
      </c>
      <c r="M452" t="s">
        <v>282</v>
      </c>
      <c r="O452" t="s">
        <v>161</v>
      </c>
      <c r="R452" t="s">
        <v>1219</v>
      </c>
      <c r="S452" t="s">
        <v>1220</v>
      </c>
      <c r="T452" t="s">
        <v>487</v>
      </c>
    </row>
    <row r="453" spans="1:20" x14ac:dyDescent="0.2">
      <c r="A453" t="s">
        <v>1302</v>
      </c>
      <c r="B453" t="s">
        <v>1303</v>
      </c>
      <c r="C453" t="s">
        <v>1304</v>
      </c>
      <c r="D453" t="s">
        <v>35</v>
      </c>
      <c r="E453" t="s">
        <v>133</v>
      </c>
      <c r="F453" t="s">
        <v>133</v>
      </c>
      <c r="G453" t="s">
        <v>133</v>
      </c>
      <c r="H453" t="s">
        <v>133</v>
      </c>
      <c r="I453" t="s">
        <v>133</v>
      </c>
      <c r="M453" t="s">
        <v>282</v>
      </c>
      <c r="O453" t="s">
        <v>161</v>
      </c>
      <c r="R453" t="s">
        <v>1219</v>
      </c>
      <c r="S453" t="s">
        <v>1220</v>
      </c>
      <c r="T453" t="s">
        <v>487</v>
      </c>
    </row>
    <row r="454" spans="1:20" x14ac:dyDescent="0.2">
      <c r="A454" t="s">
        <v>1305</v>
      </c>
      <c r="B454" t="s">
        <v>1306</v>
      </c>
      <c r="C454" t="s">
        <v>1307</v>
      </c>
      <c r="D454" t="s">
        <v>35</v>
      </c>
      <c r="E454" t="s">
        <v>133</v>
      </c>
      <c r="F454" t="s">
        <v>133</v>
      </c>
      <c r="G454" t="s">
        <v>133</v>
      </c>
      <c r="H454" t="s">
        <v>133</v>
      </c>
      <c r="I454" t="s">
        <v>133</v>
      </c>
      <c r="M454" t="s">
        <v>282</v>
      </c>
      <c r="O454" t="s">
        <v>161</v>
      </c>
      <c r="R454" t="s">
        <v>1219</v>
      </c>
      <c r="S454" t="s">
        <v>1220</v>
      </c>
      <c r="T454" t="s">
        <v>487</v>
      </c>
    </row>
    <row r="455" spans="1:20" x14ac:dyDescent="0.2">
      <c r="A455" t="s">
        <v>1308</v>
      </c>
      <c r="B455" t="s">
        <v>1309</v>
      </c>
      <c r="C455" t="s">
        <v>1310</v>
      </c>
      <c r="D455" t="s">
        <v>35</v>
      </c>
      <c r="E455" t="s">
        <v>133</v>
      </c>
      <c r="F455" t="s">
        <v>133</v>
      </c>
      <c r="G455" t="s">
        <v>133</v>
      </c>
      <c r="H455" t="s">
        <v>133</v>
      </c>
      <c r="I455" t="s">
        <v>133</v>
      </c>
      <c r="M455" t="s">
        <v>282</v>
      </c>
      <c r="O455" t="s">
        <v>161</v>
      </c>
      <c r="R455" t="s">
        <v>1219</v>
      </c>
      <c r="S455" t="s">
        <v>1220</v>
      </c>
      <c r="T455" t="s">
        <v>487</v>
      </c>
    </row>
    <row r="456" spans="1:20" x14ac:dyDescent="0.2">
      <c r="A456" t="s">
        <v>1311</v>
      </c>
      <c r="B456" t="s">
        <v>1312</v>
      </c>
      <c r="C456" t="s">
        <v>1313</v>
      </c>
      <c r="D456" t="s">
        <v>35</v>
      </c>
      <c r="E456" t="s">
        <v>133</v>
      </c>
      <c r="F456" t="s">
        <v>133</v>
      </c>
      <c r="G456" t="s">
        <v>133</v>
      </c>
      <c r="H456" t="s">
        <v>133</v>
      </c>
      <c r="I456" t="s">
        <v>133</v>
      </c>
      <c r="M456" t="s">
        <v>282</v>
      </c>
      <c r="O456" t="s">
        <v>161</v>
      </c>
      <c r="R456" t="s">
        <v>1219</v>
      </c>
      <c r="S456" t="s">
        <v>1220</v>
      </c>
      <c r="T456" t="s">
        <v>487</v>
      </c>
    </row>
    <row r="457" spans="1:20" x14ac:dyDescent="0.2">
      <c r="A457" t="s">
        <v>1314</v>
      </c>
      <c r="B457" t="s">
        <v>1315</v>
      </c>
      <c r="C457" t="s">
        <v>1316</v>
      </c>
      <c r="D457" t="s">
        <v>35</v>
      </c>
      <c r="E457" t="s">
        <v>133</v>
      </c>
      <c r="F457" t="s">
        <v>133</v>
      </c>
      <c r="G457" t="s">
        <v>133</v>
      </c>
      <c r="H457" t="s">
        <v>133</v>
      </c>
      <c r="I457" t="s">
        <v>133</v>
      </c>
      <c r="M457" t="s">
        <v>282</v>
      </c>
      <c r="O457" t="s">
        <v>161</v>
      </c>
      <c r="R457" t="s">
        <v>1219</v>
      </c>
      <c r="S457" t="s">
        <v>1220</v>
      </c>
      <c r="T457" t="s">
        <v>487</v>
      </c>
    </row>
    <row r="458" spans="1:20" x14ac:dyDescent="0.2">
      <c r="A458" t="s">
        <v>1317</v>
      </c>
      <c r="B458" t="s">
        <v>1318</v>
      </c>
      <c r="C458" t="s">
        <v>1319</v>
      </c>
      <c r="D458" t="s">
        <v>35</v>
      </c>
      <c r="E458" t="s">
        <v>133</v>
      </c>
      <c r="F458" t="s">
        <v>133</v>
      </c>
      <c r="G458" t="s">
        <v>133</v>
      </c>
      <c r="H458" t="s">
        <v>133</v>
      </c>
      <c r="I458" t="s">
        <v>133</v>
      </c>
      <c r="M458" t="s">
        <v>282</v>
      </c>
      <c r="O458" t="s">
        <v>161</v>
      </c>
      <c r="R458" t="s">
        <v>1219</v>
      </c>
      <c r="S458" t="s">
        <v>1220</v>
      </c>
      <c r="T458" t="s">
        <v>487</v>
      </c>
    </row>
    <row r="459" spans="1:20" x14ac:dyDescent="0.2">
      <c r="A459" t="s">
        <v>1320</v>
      </c>
      <c r="B459" t="s">
        <v>1321</v>
      </c>
      <c r="C459" t="s">
        <v>1322</v>
      </c>
      <c r="D459" t="s">
        <v>35</v>
      </c>
      <c r="E459" t="s">
        <v>133</v>
      </c>
      <c r="F459" t="s">
        <v>133</v>
      </c>
      <c r="G459" t="s">
        <v>133</v>
      </c>
      <c r="H459" t="s">
        <v>133</v>
      </c>
      <c r="I459" t="s">
        <v>133</v>
      </c>
      <c r="M459" t="s">
        <v>282</v>
      </c>
      <c r="O459" t="s">
        <v>161</v>
      </c>
      <c r="R459" t="s">
        <v>1219</v>
      </c>
      <c r="S459" t="s">
        <v>1220</v>
      </c>
      <c r="T459" t="s">
        <v>487</v>
      </c>
    </row>
    <row r="460" spans="1:20" x14ac:dyDescent="0.2">
      <c r="A460" t="s">
        <v>1323</v>
      </c>
      <c r="B460" t="s">
        <v>1324</v>
      </c>
      <c r="C460" t="s">
        <v>1325</v>
      </c>
      <c r="D460" t="s">
        <v>35</v>
      </c>
      <c r="E460" t="s">
        <v>133</v>
      </c>
      <c r="F460" t="s">
        <v>133</v>
      </c>
      <c r="G460" t="s">
        <v>133</v>
      </c>
      <c r="H460" t="s">
        <v>133</v>
      </c>
      <c r="I460" t="s">
        <v>133</v>
      </c>
      <c r="M460" t="s">
        <v>282</v>
      </c>
      <c r="O460" t="s">
        <v>161</v>
      </c>
      <c r="R460" t="s">
        <v>1219</v>
      </c>
      <c r="S460" t="s">
        <v>1220</v>
      </c>
      <c r="T460" t="s">
        <v>487</v>
      </c>
    </row>
    <row r="461" spans="1:20" x14ac:dyDescent="0.2">
      <c r="A461" t="s">
        <v>1326</v>
      </c>
      <c r="B461" t="s">
        <v>1327</v>
      </c>
      <c r="C461" t="s">
        <v>1328</v>
      </c>
      <c r="D461" t="s">
        <v>35</v>
      </c>
      <c r="E461" t="s">
        <v>133</v>
      </c>
      <c r="F461" t="s">
        <v>133</v>
      </c>
      <c r="G461" t="s">
        <v>133</v>
      </c>
      <c r="H461" t="s">
        <v>133</v>
      </c>
      <c r="I461" t="s">
        <v>133</v>
      </c>
      <c r="M461" t="s">
        <v>282</v>
      </c>
      <c r="O461" t="s">
        <v>161</v>
      </c>
      <c r="R461" t="s">
        <v>1219</v>
      </c>
      <c r="S461" t="s">
        <v>1220</v>
      </c>
      <c r="T461" t="s">
        <v>487</v>
      </c>
    </row>
    <row r="462" spans="1:20" x14ac:dyDescent="0.2">
      <c r="A462" t="s">
        <v>1329</v>
      </c>
      <c r="B462" t="s">
        <v>1330</v>
      </c>
      <c r="C462" t="s">
        <v>1331</v>
      </c>
      <c r="D462" t="s">
        <v>35</v>
      </c>
      <c r="E462" t="s">
        <v>133</v>
      </c>
      <c r="F462" t="s">
        <v>133</v>
      </c>
      <c r="G462" t="s">
        <v>133</v>
      </c>
      <c r="H462" t="s">
        <v>133</v>
      </c>
      <c r="I462" t="s">
        <v>133</v>
      </c>
      <c r="M462" t="s">
        <v>282</v>
      </c>
      <c r="O462" t="s">
        <v>161</v>
      </c>
      <c r="R462" t="s">
        <v>1219</v>
      </c>
      <c r="S462" t="s">
        <v>1220</v>
      </c>
      <c r="T462" t="s">
        <v>487</v>
      </c>
    </row>
    <row r="463" spans="1:20" x14ac:dyDescent="0.2">
      <c r="A463" t="s">
        <v>1332</v>
      </c>
      <c r="B463" t="s">
        <v>1333</v>
      </c>
      <c r="C463" t="s">
        <v>1334</v>
      </c>
      <c r="D463" t="s">
        <v>35</v>
      </c>
      <c r="E463" t="s">
        <v>133</v>
      </c>
      <c r="F463" t="s">
        <v>133</v>
      </c>
      <c r="G463" t="s">
        <v>133</v>
      </c>
      <c r="H463" t="s">
        <v>133</v>
      </c>
      <c r="I463" t="s">
        <v>133</v>
      </c>
      <c r="M463" t="s">
        <v>282</v>
      </c>
      <c r="O463" t="s">
        <v>161</v>
      </c>
      <c r="R463" t="s">
        <v>1219</v>
      </c>
      <c r="S463" t="s">
        <v>1220</v>
      </c>
      <c r="T463" t="s">
        <v>487</v>
      </c>
    </row>
    <row r="464" spans="1:20" x14ac:dyDescent="0.2">
      <c r="A464" t="s">
        <v>1335</v>
      </c>
      <c r="B464" t="s">
        <v>1336</v>
      </c>
      <c r="C464" t="s">
        <v>1337</v>
      </c>
      <c r="D464" t="s">
        <v>35</v>
      </c>
      <c r="E464" t="s">
        <v>133</v>
      </c>
      <c r="F464" t="s">
        <v>133</v>
      </c>
      <c r="G464" t="s">
        <v>133</v>
      </c>
      <c r="H464" t="s">
        <v>133</v>
      </c>
      <c r="I464" t="s">
        <v>133</v>
      </c>
      <c r="M464" t="s">
        <v>282</v>
      </c>
      <c r="O464" t="s">
        <v>161</v>
      </c>
      <c r="R464" t="s">
        <v>1219</v>
      </c>
      <c r="S464" t="s">
        <v>1220</v>
      </c>
      <c r="T464" t="s">
        <v>487</v>
      </c>
    </row>
    <row r="465" spans="1:20" x14ac:dyDescent="0.2">
      <c r="A465" t="s">
        <v>1338</v>
      </c>
      <c r="B465" t="s">
        <v>1339</v>
      </c>
      <c r="C465" t="s">
        <v>1340</v>
      </c>
      <c r="D465" t="s">
        <v>35</v>
      </c>
      <c r="E465" t="s">
        <v>133</v>
      </c>
      <c r="F465" t="s">
        <v>133</v>
      </c>
      <c r="G465" t="s">
        <v>133</v>
      </c>
      <c r="H465" t="s">
        <v>133</v>
      </c>
      <c r="I465" t="s">
        <v>133</v>
      </c>
      <c r="M465" t="s">
        <v>282</v>
      </c>
      <c r="O465" t="s">
        <v>161</v>
      </c>
      <c r="R465" t="s">
        <v>1219</v>
      </c>
      <c r="S465" t="s">
        <v>1220</v>
      </c>
      <c r="T465" t="s">
        <v>487</v>
      </c>
    </row>
    <row r="466" spans="1:20" x14ac:dyDescent="0.2">
      <c r="A466" t="s">
        <v>1341</v>
      </c>
      <c r="B466" t="s">
        <v>1342</v>
      </c>
      <c r="C466" t="s">
        <v>1343</v>
      </c>
      <c r="D466" t="s">
        <v>35</v>
      </c>
      <c r="E466" t="s">
        <v>133</v>
      </c>
      <c r="F466" t="s">
        <v>133</v>
      </c>
      <c r="G466" t="s">
        <v>133</v>
      </c>
      <c r="H466" t="s">
        <v>133</v>
      </c>
      <c r="I466" t="s">
        <v>133</v>
      </c>
      <c r="M466" t="s">
        <v>282</v>
      </c>
      <c r="O466" t="s">
        <v>161</v>
      </c>
      <c r="R466" t="s">
        <v>1219</v>
      </c>
      <c r="S466" t="s">
        <v>1220</v>
      </c>
      <c r="T466" t="s">
        <v>487</v>
      </c>
    </row>
    <row r="467" spans="1:20" x14ac:dyDescent="0.2">
      <c r="A467" t="s">
        <v>1344</v>
      </c>
      <c r="B467" t="s">
        <v>1345</v>
      </c>
      <c r="C467" t="s">
        <v>1346</v>
      </c>
      <c r="D467" t="s">
        <v>35</v>
      </c>
      <c r="E467" t="s">
        <v>133</v>
      </c>
      <c r="F467" t="s">
        <v>133</v>
      </c>
      <c r="G467" t="s">
        <v>133</v>
      </c>
      <c r="H467" t="s">
        <v>133</v>
      </c>
      <c r="I467" t="s">
        <v>133</v>
      </c>
      <c r="M467" t="s">
        <v>282</v>
      </c>
      <c r="O467" t="s">
        <v>161</v>
      </c>
      <c r="R467" t="s">
        <v>1219</v>
      </c>
      <c r="S467" t="s">
        <v>1220</v>
      </c>
      <c r="T467" t="s">
        <v>487</v>
      </c>
    </row>
    <row r="468" spans="1:20" x14ac:dyDescent="0.2">
      <c r="A468" t="s">
        <v>1347</v>
      </c>
      <c r="B468" t="s">
        <v>1348</v>
      </c>
      <c r="C468" t="s">
        <v>1349</v>
      </c>
      <c r="D468" t="s">
        <v>35</v>
      </c>
      <c r="E468" t="s">
        <v>133</v>
      </c>
      <c r="F468" t="s">
        <v>133</v>
      </c>
      <c r="G468" t="s">
        <v>133</v>
      </c>
      <c r="H468" t="s">
        <v>133</v>
      </c>
      <c r="I468" t="s">
        <v>133</v>
      </c>
      <c r="M468" t="s">
        <v>282</v>
      </c>
      <c r="O468" t="s">
        <v>161</v>
      </c>
      <c r="R468" t="s">
        <v>1219</v>
      </c>
      <c r="S468" t="s">
        <v>1220</v>
      </c>
      <c r="T468" t="s">
        <v>487</v>
      </c>
    </row>
    <row r="469" spans="1:20" x14ac:dyDescent="0.2">
      <c r="A469" t="s">
        <v>1350</v>
      </c>
      <c r="B469" t="s">
        <v>1351</v>
      </c>
      <c r="C469" t="s">
        <v>1352</v>
      </c>
      <c r="D469" t="s">
        <v>35</v>
      </c>
      <c r="E469" t="s">
        <v>133</v>
      </c>
      <c r="F469" t="s">
        <v>133</v>
      </c>
      <c r="G469" t="s">
        <v>133</v>
      </c>
      <c r="H469" t="s">
        <v>133</v>
      </c>
      <c r="I469" t="s">
        <v>133</v>
      </c>
      <c r="M469" t="s">
        <v>282</v>
      </c>
      <c r="O469" t="s">
        <v>161</v>
      </c>
      <c r="R469" t="s">
        <v>1219</v>
      </c>
      <c r="S469" t="s">
        <v>1220</v>
      </c>
      <c r="T469" t="s">
        <v>487</v>
      </c>
    </row>
    <row r="470" spans="1:20" x14ac:dyDescent="0.2">
      <c r="A470" t="s">
        <v>1353</v>
      </c>
      <c r="B470" t="s">
        <v>1354</v>
      </c>
      <c r="C470" t="s">
        <v>1355</v>
      </c>
      <c r="D470" t="s">
        <v>35</v>
      </c>
      <c r="E470" t="s">
        <v>133</v>
      </c>
      <c r="F470" t="s">
        <v>133</v>
      </c>
      <c r="G470" t="s">
        <v>133</v>
      </c>
      <c r="H470" t="s">
        <v>133</v>
      </c>
      <c r="I470" t="s">
        <v>133</v>
      </c>
      <c r="M470" t="s">
        <v>282</v>
      </c>
      <c r="O470" t="s">
        <v>161</v>
      </c>
      <c r="R470" t="s">
        <v>1219</v>
      </c>
      <c r="S470" t="s">
        <v>1220</v>
      </c>
      <c r="T470" t="s">
        <v>487</v>
      </c>
    </row>
    <row r="471" spans="1:20" x14ac:dyDescent="0.2">
      <c r="A471" t="s">
        <v>1356</v>
      </c>
      <c r="B471" t="s">
        <v>1357</v>
      </c>
      <c r="C471" t="s">
        <v>1358</v>
      </c>
      <c r="D471" t="s">
        <v>35</v>
      </c>
      <c r="E471" t="s">
        <v>133</v>
      </c>
      <c r="F471" t="s">
        <v>133</v>
      </c>
      <c r="G471" t="s">
        <v>133</v>
      </c>
      <c r="H471" t="s">
        <v>133</v>
      </c>
      <c r="I471" t="s">
        <v>133</v>
      </c>
      <c r="M471" t="s">
        <v>282</v>
      </c>
      <c r="O471" t="s">
        <v>161</v>
      </c>
      <c r="R471" t="s">
        <v>1219</v>
      </c>
      <c r="S471" t="s">
        <v>1220</v>
      </c>
      <c r="T471" t="s">
        <v>487</v>
      </c>
    </row>
    <row r="472" spans="1:20" x14ac:dyDescent="0.2">
      <c r="A472" t="s">
        <v>1359</v>
      </c>
      <c r="B472" t="s">
        <v>1360</v>
      </c>
      <c r="C472" t="s">
        <v>1361</v>
      </c>
      <c r="D472" t="s">
        <v>35</v>
      </c>
      <c r="E472" t="s">
        <v>133</v>
      </c>
      <c r="F472" t="s">
        <v>133</v>
      </c>
      <c r="G472" t="s">
        <v>133</v>
      </c>
      <c r="H472" t="s">
        <v>133</v>
      </c>
      <c r="I472" t="s">
        <v>133</v>
      </c>
      <c r="M472" t="s">
        <v>282</v>
      </c>
      <c r="O472" t="s">
        <v>161</v>
      </c>
      <c r="R472" t="s">
        <v>1219</v>
      </c>
      <c r="S472" t="s">
        <v>1220</v>
      </c>
      <c r="T472" t="s">
        <v>487</v>
      </c>
    </row>
    <row r="473" spans="1:20" x14ac:dyDescent="0.2">
      <c r="A473" t="s">
        <v>1362</v>
      </c>
      <c r="B473" t="s">
        <v>1363</v>
      </c>
      <c r="C473" t="s">
        <v>1364</v>
      </c>
      <c r="D473" t="s">
        <v>35</v>
      </c>
      <c r="E473" t="s">
        <v>133</v>
      </c>
      <c r="F473" t="s">
        <v>133</v>
      </c>
      <c r="G473" t="s">
        <v>133</v>
      </c>
      <c r="H473" t="s">
        <v>133</v>
      </c>
      <c r="I473" t="s">
        <v>133</v>
      </c>
      <c r="M473" t="s">
        <v>282</v>
      </c>
      <c r="O473" t="s">
        <v>161</v>
      </c>
      <c r="R473" t="s">
        <v>1219</v>
      </c>
      <c r="S473" t="s">
        <v>1220</v>
      </c>
      <c r="T473" t="s">
        <v>487</v>
      </c>
    </row>
    <row r="474" spans="1:20" x14ac:dyDescent="0.2">
      <c r="A474" t="s">
        <v>1365</v>
      </c>
      <c r="B474" t="s">
        <v>1366</v>
      </c>
      <c r="C474" t="s">
        <v>1367</v>
      </c>
      <c r="D474" t="s">
        <v>35</v>
      </c>
      <c r="E474" t="s">
        <v>133</v>
      </c>
      <c r="F474" t="s">
        <v>133</v>
      </c>
      <c r="G474" t="s">
        <v>133</v>
      </c>
      <c r="H474" t="s">
        <v>133</v>
      </c>
      <c r="I474" t="s">
        <v>133</v>
      </c>
      <c r="M474" t="s">
        <v>282</v>
      </c>
      <c r="O474" t="s">
        <v>161</v>
      </c>
      <c r="R474" t="s">
        <v>1219</v>
      </c>
      <c r="S474" t="s">
        <v>1220</v>
      </c>
      <c r="T474" t="s">
        <v>487</v>
      </c>
    </row>
    <row r="475" spans="1:20" x14ac:dyDescent="0.2">
      <c r="A475" t="s">
        <v>1368</v>
      </c>
      <c r="B475" t="s">
        <v>1369</v>
      </c>
      <c r="C475" t="s">
        <v>1370</v>
      </c>
      <c r="D475" t="s">
        <v>35</v>
      </c>
      <c r="E475" t="s">
        <v>133</v>
      </c>
      <c r="F475" t="s">
        <v>133</v>
      </c>
      <c r="G475" t="s">
        <v>133</v>
      </c>
      <c r="H475" t="s">
        <v>133</v>
      </c>
      <c r="I475" t="s">
        <v>133</v>
      </c>
      <c r="M475" t="s">
        <v>282</v>
      </c>
      <c r="O475" t="s">
        <v>161</v>
      </c>
      <c r="R475" t="s">
        <v>1219</v>
      </c>
      <c r="S475" t="s">
        <v>1220</v>
      </c>
      <c r="T475" t="s">
        <v>487</v>
      </c>
    </row>
    <row r="476" spans="1:20" x14ac:dyDescent="0.2">
      <c r="A476" t="s">
        <v>1371</v>
      </c>
      <c r="B476" t="s">
        <v>1372</v>
      </c>
      <c r="C476" t="s">
        <v>1373</v>
      </c>
      <c r="D476" t="s">
        <v>35</v>
      </c>
      <c r="E476" t="s">
        <v>133</v>
      </c>
      <c r="F476" t="s">
        <v>133</v>
      </c>
      <c r="G476" t="s">
        <v>133</v>
      </c>
      <c r="H476" t="s">
        <v>133</v>
      </c>
      <c r="I476" t="s">
        <v>133</v>
      </c>
      <c r="M476" t="s">
        <v>282</v>
      </c>
      <c r="O476" t="s">
        <v>161</v>
      </c>
      <c r="R476" t="s">
        <v>1219</v>
      </c>
      <c r="S476" t="s">
        <v>1220</v>
      </c>
      <c r="T476" t="s">
        <v>487</v>
      </c>
    </row>
    <row r="477" spans="1:20" x14ac:dyDescent="0.2">
      <c r="A477" t="s">
        <v>1374</v>
      </c>
      <c r="B477" t="s">
        <v>1375</v>
      </c>
      <c r="C477" t="s">
        <v>1376</v>
      </c>
      <c r="D477" t="s">
        <v>35</v>
      </c>
      <c r="E477" t="s">
        <v>133</v>
      </c>
      <c r="F477" t="s">
        <v>133</v>
      </c>
      <c r="G477" t="s">
        <v>133</v>
      </c>
      <c r="H477" t="s">
        <v>133</v>
      </c>
      <c r="I477" t="s">
        <v>133</v>
      </c>
      <c r="M477" t="s">
        <v>282</v>
      </c>
      <c r="O477" t="s">
        <v>161</v>
      </c>
      <c r="R477" t="s">
        <v>1219</v>
      </c>
      <c r="S477" t="s">
        <v>1220</v>
      </c>
      <c r="T477" t="s">
        <v>487</v>
      </c>
    </row>
    <row r="478" spans="1:20" x14ac:dyDescent="0.2">
      <c r="A478" t="s">
        <v>1377</v>
      </c>
      <c r="B478" t="s">
        <v>1378</v>
      </c>
      <c r="C478" t="s">
        <v>1379</v>
      </c>
      <c r="D478" t="s">
        <v>35</v>
      </c>
      <c r="E478" t="s">
        <v>133</v>
      </c>
      <c r="F478" t="s">
        <v>133</v>
      </c>
      <c r="G478" t="s">
        <v>133</v>
      </c>
      <c r="H478" t="s">
        <v>133</v>
      </c>
      <c r="I478" t="s">
        <v>133</v>
      </c>
      <c r="M478" t="s">
        <v>282</v>
      </c>
      <c r="O478" t="s">
        <v>161</v>
      </c>
      <c r="R478" t="s">
        <v>1219</v>
      </c>
      <c r="S478" t="s">
        <v>1220</v>
      </c>
      <c r="T478" t="s">
        <v>487</v>
      </c>
    </row>
    <row r="479" spans="1:20" x14ac:dyDescent="0.2">
      <c r="A479" t="s">
        <v>1380</v>
      </c>
      <c r="B479" t="s">
        <v>1381</v>
      </c>
      <c r="C479" t="s">
        <v>1382</v>
      </c>
      <c r="D479" t="s">
        <v>35</v>
      </c>
      <c r="E479" t="s">
        <v>133</v>
      </c>
      <c r="F479" t="s">
        <v>133</v>
      </c>
      <c r="G479" t="s">
        <v>133</v>
      </c>
      <c r="H479" t="s">
        <v>133</v>
      </c>
      <c r="I479" t="s">
        <v>133</v>
      </c>
      <c r="M479" t="s">
        <v>282</v>
      </c>
      <c r="O479" t="s">
        <v>161</v>
      </c>
      <c r="R479" t="s">
        <v>1219</v>
      </c>
      <c r="S479" t="s">
        <v>1220</v>
      </c>
      <c r="T479" t="s">
        <v>487</v>
      </c>
    </row>
    <row r="480" spans="1:20" x14ac:dyDescent="0.2">
      <c r="A480" t="s">
        <v>1383</v>
      </c>
      <c r="B480" t="s">
        <v>1384</v>
      </c>
      <c r="C480" t="s">
        <v>1385</v>
      </c>
      <c r="D480" t="s">
        <v>35</v>
      </c>
      <c r="E480" t="s">
        <v>133</v>
      </c>
      <c r="F480" t="s">
        <v>133</v>
      </c>
      <c r="G480" t="s">
        <v>133</v>
      </c>
      <c r="H480" t="s">
        <v>133</v>
      </c>
      <c r="I480" t="s">
        <v>133</v>
      </c>
      <c r="M480" t="s">
        <v>282</v>
      </c>
      <c r="O480" t="s">
        <v>161</v>
      </c>
      <c r="R480" t="s">
        <v>1219</v>
      </c>
      <c r="S480" t="s">
        <v>1220</v>
      </c>
      <c r="T480" t="s">
        <v>487</v>
      </c>
    </row>
    <row r="481" spans="1:20" x14ac:dyDescent="0.2">
      <c r="A481" t="s">
        <v>1386</v>
      </c>
      <c r="B481" t="s">
        <v>1387</v>
      </c>
      <c r="C481" t="s">
        <v>1388</v>
      </c>
      <c r="D481" t="s">
        <v>35</v>
      </c>
      <c r="E481" t="s">
        <v>133</v>
      </c>
      <c r="F481" t="s">
        <v>133</v>
      </c>
      <c r="G481" t="s">
        <v>133</v>
      </c>
      <c r="H481" t="s">
        <v>133</v>
      </c>
      <c r="I481" t="s">
        <v>133</v>
      </c>
      <c r="M481" t="s">
        <v>282</v>
      </c>
      <c r="O481" t="s">
        <v>161</v>
      </c>
      <c r="R481" t="s">
        <v>1219</v>
      </c>
      <c r="S481" t="s">
        <v>1220</v>
      </c>
      <c r="T481" t="s">
        <v>487</v>
      </c>
    </row>
    <row r="482" spans="1:20" x14ac:dyDescent="0.2">
      <c r="A482" t="s">
        <v>1389</v>
      </c>
      <c r="B482" t="s">
        <v>1390</v>
      </c>
      <c r="C482" t="s">
        <v>1391</v>
      </c>
      <c r="D482" t="s">
        <v>35</v>
      </c>
      <c r="E482" t="s">
        <v>133</v>
      </c>
      <c r="F482" t="s">
        <v>133</v>
      </c>
      <c r="G482" t="s">
        <v>133</v>
      </c>
      <c r="H482" t="s">
        <v>133</v>
      </c>
      <c r="I482" t="s">
        <v>133</v>
      </c>
      <c r="M482" t="s">
        <v>282</v>
      </c>
      <c r="O482" t="s">
        <v>161</v>
      </c>
      <c r="R482" t="s">
        <v>1219</v>
      </c>
      <c r="S482" t="s">
        <v>1220</v>
      </c>
      <c r="T482" t="s">
        <v>487</v>
      </c>
    </row>
    <row r="483" spans="1:20" x14ac:dyDescent="0.2">
      <c r="A483" t="s">
        <v>1392</v>
      </c>
      <c r="B483" t="s">
        <v>1393</v>
      </c>
      <c r="C483" t="s">
        <v>1394</v>
      </c>
      <c r="D483" t="s">
        <v>35</v>
      </c>
      <c r="E483" t="s">
        <v>133</v>
      </c>
      <c r="F483" t="s">
        <v>133</v>
      </c>
      <c r="G483" t="s">
        <v>133</v>
      </c>
      <c r="H483" t="s">
        <v>133</v>
      </c>
      <c r="I483" t="s">
        <v>133</v>
      </c>
      <c r="M483" t="s">
        <v>282</v>
      </c>
      <c r="O483" t="s">
        <v>161</v>
      </c>
      <c r="R483" t="s">
        <v>1219</v>
      </c>
      <c r="S483" t="s">
        <v>1220</v>
      </c>
      <c r="T483" t="s">
        <v>487</v>
      </c>
    </row>
    <row r="484" spans="1:20" x14ac:dyDescent="0.2">
      <c r="A484" t="s">
        <v>1395</v>
      </c>
      <c r="B484" t="s">
        <v>1396</v>
      </c>
      <c r="C484" t="s">
        <v>1397</v>
      </c>
      <c r="D484" t="s">
        <v>35</v>
      </c>
      <c r="E484" t="s">
        <v>133</v>
      </c>
      <c r="F484" t="s">
        <v>133</v>
      </c>
      <c r="G484" t="s">
        <v>133</v>
      </c>
      <c r="H484" t="s">
        <v>133</v>
      </c>
      <c r="I484" t="s">
        <v>133</v>
      </c>
      <c r="M484" t="s">
        <v>282</v>
      </c>
      <c r="O484" t="s">
        <v>161</v>
      </c>
      <c r="R484" t="s">
        <v>1219</v>
      </c>
      <c r="S484" t="s">
        <v>1220</v>
      </c>
      <c r="T484" t="s">
        <v>487</v>
      </c>
    </row>
    <row r="485" spans="1:20" x14ac:dyDescent="0.2">
      <c r="A485" t="s">
        <v>1398</v>
      </c>
      <c r="B485" t="s">
        <v>1399</v>
      </c>
      <c r="C485" t="s">
        <v>1400</v>
      </c>
      <c r="D485" t="s">
        <v>35</v>
      </c>
      <c r="E485" t="s">
        <v>133</v>
      </c>
      <c r="F485" t="s">
        <v>133</v>
      </c>
      <c r="G485" t="s">
        <v>133</v>
      </c>
      <c r="H485" t="s">
        <v>133</v>
      </c>
      <c r="I485" t="s">
        <v>133</v>
      </c>
      <c r="M485" t="s">
        <v>282</v>
      </c>
      <c r="O485" t="s">
        <v>161</v>
      </c>
      <c r="R485" t="s">
        <v>1219</v>
      </c>
      <c r="S485" t="s">
        <v>1220</v>
      </c>
      <c r="T485" t="s">
        <v>487</v>
      </c>
    </row>
    <row r="486" spans="1:20" x14ac:dyDescent="0.2">
      <c r="A486" t="s">
        <v>1401</v>
      </c>
      <c r="B486" t="s">
        <v>1402</v>
      </c>
      <c r="C486" t="s">
        <v>1403</v>
      </c>
      <c r="D486" t="s">
        <v>35</v>
      </c>
      <c r="E486" t="s">
        <v>133</v>
      </c>
      <c r="F486" t="s">
        <v>133</v>
      </c>
      <c r="G486" t="s">
        <v>133</v>
      </c>
      <c r="H486" t="s">
        <v>133</v>
      </c>
      <c r="I486" t="s">
        <v>133</v>
      </c>
      <c r="M486" t="s">
        <v>282</v>
      </c>
      <c r="O486" t="s">
        <v>161</v>
      </c>
      <c r="R486" t="s">
        <v>1219</v>
      </c>
      <c r="S486" t="s">
        <v>1220</v>
      </c>
      <c r="T486" t="s">
        <v>487</v>
      </c>
    </row>
    <row r="487" spans="1:20" x14ac:dyDescent="0.2">
      <c r="A487" t="s">
        <v>1404</v>
      </c>
      <c r="B487" t="s">
        <v>1405</v>
      </c>
      <c r="C487" t="s">
        <v>1406</v>
      </c>
      <c r="D487" t="s">
        <v>35</v>
      </c>
      <c r="E487" t="s">
        <v>133</v>
      </c>
      <c r="F487" t="s">
        <v>133</v>
      </c>
      <c r="G487" t="s">
        <v>133</v>
      </c>
      <c r="H487" t="s">
        <v>133</v>
      </c>
      <c r="I487" t="s">
        <v>133</v>
      </c>
      <c r="M487" t="s">
        <v>282</v>
      </c>
      <c r="O487" t="s">
        <v>161</v>
      </c>
      <c r="R487" t="s">
        <v>1219</v>
      </c>
      <c r="S487" t="s">
        <v>1220</v>
      </c>
      <c r="T487" t="s">
        <v>487</v>
      </c>
    </row>
    <row r="488" spans="1:20" x14ac:dyDescent="0.2">
      <c r="A488" t="s">
        <v>1407</v>
      </c>
      <c r="B488" t="s">
        <v>1408</v>
      </c>
      <c r="C488" t="s">
        <v>1409</v>
      </c>
      <c r="D488" t="s">
        <v>35</v>
      </c>
      <c r="E488" t="s">
        <v>133</v>
      </c>
      <c r="F488" t="s">
        <v>133</v>
      </c>
      <c r="G488" t="s">
        <v>133</v>
      </c>
      <c r="H488" t="s">
        <v>133</v>
      </c>
      <c r="I488" t="s">
        <v>133</v>
      </c>
      <c r="M488" t="s">
        <v>282</v>
      </c>
      <c r="O488" t="s">
        <v>161</v>
      </c>
      <c r="R488" t="s">
        <v>1219</v>
      </c>
      <c r="S488" t="s">
        <v>1220</v>
      </c>
      <c r="T488" t="s">
        <v>487</v>
      </c>
    </row>
    <row r="489" spans="1:20" x14ac:dyDescent="0.2">
      <c r="A489" t="s">
        <v>1410</v>
      </c>
      <c r="B489" t="s">
        <v>1411</v>
      </c>
      <c r="C489" t="s">
        <v>1412</v>
      </c>
      <c r="D489" t="s">
        <v>35</v>
      </c>
      <c r="E489" t="s">
        <v>133</v>
      </c>
      <c r="F489" t="s">
        <v>133</v>
      </c>
      <c r="G489" t="s">
        <v>133</v>
      </c>
      <c r="H489" t="s">
        <v>133</v>
      </c>
      <c r="I489" t="s">
        <v>133</v>
      </c>
      <c r="M489" t="s">
        <v>282</v>
      </c>
      <c r="O489" t="s">
        <v>161</v>
      </c>
      <c r="R489" t="s">
        <v>1219</v>
      </c>
      <c r="S489" t="s">
        <v>1220</v>
      </c>
      <c r="T489" t="s">
        <v>487</v>
      </c>
    </row>
    <row r="490" spans="1:20" x14ac:dyDescent="0.2">
      <c r="A490" t="s">
        <v>1413</v>
      </c>
      <c r="B490" t="s">
        <v>1414</v>
      </c>
      <c r="C490" t="s">
        <v>1415</v>
      </c>
      <c r="D490" t="s">
        <v>35</v>
      </c>
      <c r="E490" t="s">
        <v>133</v>
      </c>
      <c r="F490" t="s">
        <v>133</v>
      </c>
      <c r="G490" t="s">
        <v>133</v>
      </c>
      <c r="H490" t="s">
        <v>133</v>
      </c>
      <c r="I490" t="s">
        <v>133</v>
      </c>
      <c r="M490" t="s">
        <v>282</v>
      </c>
      <c r="O490" t="s">
        <v>161</v>
      </c>
      <c r="R490" t="s">
        <v>1219</v>
      </c>
      <c r="S490" t="s">
        <v>1220</v>
      </c>
      <c r="T490" t="s">
        <v>487</v>
      </c>
    </row>
    <row r="491" spans="1:20" x14ac:dyDescent="0.2">
      <c r="A491" t="s">
        <v>1416</v>
      </c>
      <c r="B491" t="s">
        <v>1417</v>
      </c>
      <c r="C491" t="s">
        <v>1418</v>
      </c>
      <c r="D491" t="s">
        <v>35</v>
      </c>
      <c r="E491" t="s">
        <v>133</v>
      </c>
      <c r="F491" t="s">
        <v>133</v>
      </c>
      <c r="G491" t="s">
        <v>133</v>
      </c>
      <c r="H491" t="s">
        <v>133</v>
      </c>
      <c r="I491" t="s">
        <v>133</v>
      </c>
      <c r="M491" t="s">
        <v>282</v>
      </c>
      <c r="O491" t="s">
        <v>161</v>
      </c>
      <c r="R491" t="s">
        <v>1219</v>
      </c>
      <c r="S491" t="s">
        <v>1220</v>
      </c>
      <c r="T491" t="s">
        <v>487</v>
      </c>
    </row>
    <row r="492" spans="1:20" x14ac:dyDescent="0.2">
      <c r="A492" t="s">
        <v>1419</v>
      </c>
      <c r="B492" t="s">
        <v>1420</v>
      </c>
      <c r="C492" t="s">
        <v>1421</v>
      </c>
      <c r="D492" t="s">
        <v>35</v>
      </c>
      <c r="E492" t="s">
        <v>133</v>
      </c>
      <c r="F492" t="s">
        <v>133</v>
      </c>
      <c r="G492" t="s">
        <v>133</v>
      </c>
      <c r="H492" t="s">
        <v>133</v>
      </c>
      <c r="I492" t="s">
        <v>133</v>
      </c>
      <c r="M492" t="s">
        <v>282</v>
      </c>
      <c r="O492" t="s">
        <v>161</v>
      </c>
      <c r="R492" t="s">
        <v>1219</v>
      </c>
      <c r="S492" t="s">
        <v>1220</v>
      </c>
      <c r="T492" t="s">
        <v>487</v>
      </c>
    </row>
    <row r="493" spans="1:20" x14ac:dyDescent="0.2">
      <c r="A493" t="s">
        <v>1422</v>
      </c>
      <c r="B493" t="s">
        <v>1423</v>
      </c>
      <c r="C493" t="s">
        <v>1424</v>
      </c>
      <c r="D493" t="s">
        <v>35</v>
      </c>
      <c r="E493" t="s">
        <v>133</v>
      </c>
      <c r="F493" t="s">
        <v>133</v>
      </c>
      <c r="G493" t="s">
        <v>133</v>
      </c>
      <c r="H493" t="s">
        <v>133</v>
      </c>
      <c r="I493" t="s">
        <v>133</v>
      </c>
      <c r="M493" t="s">
        <v>282</v>
      </c>
      <c r="O493" t="s">
        <v>161</v>
      </c>
      <c r="R493" t="s">
        <v>1219</v>
      </c>
      <c r="S493" t="s">
        <v>1220</v>
      </c>
      <c r="T493" t="s">
        <v>487</v>
      </c>
    </row>
    <row r="494" spans="1:20" x14ac:dyDescent="0.2">
      <c r="A494" t="s">
        <v>1425</v>
      </c>
      <c r="B494" t="s">
        <v>1426</v>
      </c>
      <c r="C494" t="s">
        <v>1427</v>
      </c>
      <c r="D494" t="s">
        <v>35</v>
      </c>
      <c r="E494" t="s">
        <v>133</v>
      </c>
      <c r="F494" t="s">
        <v>133</v>
      </c>
      <c r="G494" t="s">
        <v>133</v>
      </c>
      <c r="H494" t="s">
        <v>133</v>
      </c>
      <c r="I494" t="s">
        <v>133</v>
      </c>
      <c r="M494" t="s">
        <v>282</v>
      </c>
      <c r="O494" t="s">
        <v>161</v>
      </c>
      <c r="R494" t="s">
        <v>1219</v>
      </c>
      <c r="S494" t="s">
        <v>1220</v>
      </c>
      <c r="T494" t="s">
        <v>487</v>
      </c>
    </row>
    <row r="495" spans="1:20" x14ac:dyDescent="0.2">
      <c r="A495" t="s">
        <v>1428</v>
      </c>
      <c r="B495" t="s">
        <v>1429</v>
      </c>
      <c r="C495" t="s">
        <v>1430</v>
      </c>
      <c r="D495" t="s">
        <v>35</v>
      </c>
      <c r="E495" t="s">
        <v>133</v>
      </c>
      <c r="F495" t="s">
        <v>133</v>
      </c>
      <c r="G495" t="s">
        <v>133</v>
      </c>
      <c r="H495" t="s">
        <v>133</v>
      </c>
      <c r="I495" t="s">
        <v>133</v>
      </c>
      <c r="M495" t="s">
        <v>282</v>
      </c>
      <c r="O495" t="s">
        <v>161</v>
      </c>
      <c r="R495" t="s">
        <v>1219</v>
      </c>
      <c r="S495" t="s">
        <v>1220</v>
      </c>
      <c r="T495" t="s">
        <v>487</v>
      </c>
    </row>
    <row r="496" spans="1:20" x14ac:dyDescent="0.2">
      <c r="A496" t="s">
        <v>1431</v>
      </c>
      <c r="B496" t="s">
        <v>1432</v>
      </c>
      <c r="C496" t="s">
        <v>1433</v>
      </c>
      <c r="D496" t="s">
        <v>35</v>
      </c>
      <c r="E496" t="s">
        <v>133</v>
      </c>
      <c r="F496" t="s">
        <v>133</v>
      </c>
      <c r="G496" t="s">
        <v>133</v>
      </c>
      <c r="H496" t="s">
        <v>133</v>
      </c>
      <c r="I496" t="s">
        <v>133</v>
      </c>
      <c r="M496" t="s">
        <v>282</v>
      </c>
      <c r="O496" t="s">
        <v>161</v>
      </c>
      <c r="R496" t="s">
        <v>1219</v>
      </c>
      <c r="S496" t="s">
        <v>1220</v>
      </c>
      <c r="T496" t="s">
        <v>487</v>
      </c>
    </row>
    <row r="497" spans="1:20" x14ac:dyDescent="0.2">
      <c r="A497" t="s">
        <v>1434</v>
      </c>
      <c r="B497" t="s">
        <v>1435</v>
      </c>
      <c r="C497" t="s">
        <v>1436</v>
      </c>
      <c r="D497" t="s">
        <v>35</v>
      </c>
      <c r="E497" t="s">
        <v>133</v>
      </c>
      <c r="F497" t="s">
        <v>133</v>
      </c>
      <c r="G497" t="s">
        <v>133</v>
      </c>
      <c r="H497" t="s">
        <v>133</v>
      </c>
      <c r="I497" t="s">
        <v>133</v>
      </c>
      <c r="M497" t="s">
        <v>282</v>
      </c>
      <c r="O497" t="s">
        <v>161</v>
      </c>
      <c r="R497" t="s">
        <v>1219</v>
      </c>
      <c r="S497" t="s">
        <v>1220</v>
      </c>
      <c r="T497" t="s">
        <v>487</v>
      </c>
    </row>
    <row r="498" spans="1:20" x14ac:dyDescent="0.2">
      <c r="A498" t="s">
        <v>1437</v>
      </c>
      <c r="B498" t="s">
        <v>1438</v>
      </c>
      <c r="C498" t="s">
        <v>1439</v>
      </c>
      <c r="D498" t="s">
        <v>35</v>
      </c>
      <c r="E498" t="s">
        <v>133</v>
      </c>
      <c r="F498" t="s">
        <v>133</v>
      </c>
      <c r="G498" t="s">
        <v>133</v>
      </c>
      <c r="H498" t="s">
        <v>133</v>
      </c>
      <c r="I498" t="s">
        <v>133</v>
      </c>
      <c r="M498" t="s">
        <v>282</v>
      </c>
      <c r="O498" t="s">
        <v>161</v>
      </c>
      <c r="R498" t="s">
        <v>1219</v>
      </c>
      <c r="S498" t="s">
        <v>1220</v>
      </c>
      <c r="T498" t="s">
        <v>487</v>
      </c>
    </row>
    <row r="499" spans="1:20" x14ac:dyDescent="0.2">
      <c r="A499" t="s">
        <v>1440</v>
      </c>
      <c r="B499" t="s">
        <v>1441</v>
      </c>
      <c r="C499" t="s">
        <v>1442</v>
      </c>
      <c r="D499" t="s">
        <v>35</v>
      </c>
      <c r="E499" t="s">
        <v>133</v>
      </c>
      <c r="F499" t="s">
        <v>133</v>
      </c>
      <c r="G499" t="s">
        <v>133</v>
      </c>
      <c r="H499" t="s">
        <v>133</v>
      </c>
      <c r="I499" t="s">
        <v>133</v>
      </c>
      <c r="M499" t="s">
        <v>282</v>
      </c>
      <c r="O499" t="s">
        <v>161</v>
      </c>
      <c r="R499" t="s">
        <v>1219</v>
      </c>
      <c r="S499" t="s">
        <v>1220</v>
      </c>
      <c r="T499" t="s">
        <v>487</v>
      </c>
    </row>
    <row r="500" spans="1:20" x14ac:dyDescent="0.2">
      <c r="A500" t="s">
        <v>1443</v>
      </c>
      <c r="B500" t="s">
        <v>1444</v>
      </c>
      <c r="C500" t="s">
        <v>1445</v>
      </c>
      <c r="D500" t="s">
        <v>35</v>
      </c>
      <c r="E500" t="s">
        <v>133</v>
      </c>
      <c r="F500" t="s">
        <v>133</v>
      </c>
      <c r="G500" t="s">
        <v>133</v>
      </c>
      <c r="H500" t="s">
        <v>133</v>
      </c>
      <c r="I500" t="s">
        <v>133</v>
      </c>
      <c r="M500" t="s">
        <v>282</v>
      </c>
      <c r="O500" t="s">
        <v>161</v>
      </c>
      <c r="R500" t="s">
        <v>1219</v>
      </c>
      <c r="S500" t="s">
        <v>1220</v>
      </c>
      <c r="T500" t="s">
        <v>487</v>
      </c>
    </row>
    <row r="501" spans="1:20" x14ac:dyDescent="0.2">
      <c r="A501" t="s">
        <v>1446</v>
      </c>
      <c r="B501" t="s">
        <v>1447</v>
      </c>
      <c r="C501" t="s">
        <v>1448</v>
      </c>
      <c r="D501" t="s">
        <v>35</v>
      </c>
      <c r="E501" t="s">
        <v>133</v>
      </c>
      <c r="F501" t="s">
        <v>133</v>
      </c>
      <c r="G501" t="s">
        <v>133</v>
      </c>
      <c r="H501" t="s">
        <v>133</v>
      </c>
      <c r="I501" t="s">
        <v>133</v>
      </c>
      <c r="M501" t="s">
        <v>282</v>
      </c>
      <c r="O501" t="s">
        <v>161</v>
      </c>
      <c r="R501" t="s">
        <v>1219</v>
      </c>
      <c r="S501" t="s">
        <v>1220</v>
      </c>
      <c r="T501" t="s">
        <v>487</v>
      </c>
    </row>
    <row r="502" spans="1:20" x14ac:dyDescent="0.2">
      <c r="A502" t="s">
        <v>1449</v>
      </c>
      <c r="B502" t="s">
        <v>1450</v>
      </c>
      <c r="C502" t="s">
        <v>1451</v>
      </c>
      <c r="D502" t="s">
        <v>35</v>
      </c>
      <c r="E502" t="s">
        <v>133</v>
      </c>
      <c r="F502" t="s">
        <v>133</v>
      </c>
      <c r="G502" t="s">
        <v>133</v>
      </c>
      <c r="H502" t="s">
        <v>133</v>
      </c>
      <c r="I502" t="s">
        <v>133</v>
      </c>
      <c r="M502" t="s">
        <v>282</v>
      </c>
      <c r="O502" t="s">
        <v>161</v>
      </c>
      <c r="R502" t="s">
        <v>1219</v>
      </c>
      <c r="S502" t="s">
        <v>1220</v>
      </c>
      <c r="T502" t="s">
        <v>487</v>
      </c>
    </row>
    <row r="503" spans="1:20" x14ac:dyDescent="0.2">
      <c r="A503" t="s">
        <v>1452</v>
      </c>
      <c r="B503" t="s">
        <v>1453</v>
      </c>
      <c r="C503" t="s">
        <v>1454</v>
      </c>
      <c r="D503" t="s">
        <v>35</v>
      </c>
      <c r="E503" t="s">
        <v>133</v>
      </c>
      <c r="F503" t="s">
        <v>133</v>
      </c>
      <c r="G503" t="s">
        <v>133</v>
      </c>
      <c r="H503" t="s">
        <v>133</v>
      </c>
      <c r="I503" t="s">
        <v>133</v>
      </c>
      <c r="M503" t="s">
        <v>282</v>
      </c>
      <c r="O503" t="s">
        <v>161</v>
      </c>
      <c r="R503" t="s">
        <v>1219</v>
      </c>
      <c r="S503" t="s">
        <v>1220</v>
      </c>
      <c r="T503" t="s">
        <v>487</v>
      </c>
    </row>
    <row r="504" spans="1:20" x14ac:dyDescent="0.2">
      <c r="A504" t="s">
        <v>1455</v>
      </c>
      <c r="B504" t="s">
        <v>1456</v>
      </c>
      <c r="C504" t="s">
        <v>1457</v>
      </c>
      <c r="D504" t="s">
        <v>35</v>
      </c>
      <c r="E504" t="s">
        <v>133</v>
      </c>
      <c r="F504" t="s">
        <v>133</v>
      </c>
      <c r="G504" t="s">
        <v>133</v>
      </c>
      <c r="H504" t="s">
        <v>133</v>
      </c>
      <c r="I504" t="s">
        <v>133</v>
      </c>
      <c r="M504" t="s">
        <v>282</v>
      </c>
      <c r="O504" t="s">
        <v>161</v>
      </c>
      <c r="R504" t="s">
        <v>1219</v>
      </c>
      <c r="S504" t="s">
        <v>1220</v>
      </c>
      <c r="T504" t="s">
        <v>487</v>
      </c>
    </row>
    <row r="505" spans="1:20" x14ac:dyDescent="0.2">
      <c r="A505" t="s">
        <v>1458</v>
      </c>
      <c r="B505" t="s">
        <v>1459</v>
      </c>
      <c r="C505" t="s">
        <v>1460</v>
      </c>
      <c r="D505" t="s">
        <v>35</v>
      </c>
      <c r="E505" t="s">
        <v>133</v>
      </c>
      <c r="F505" t="s">
        <v>133</v>
      </c>
      <c r="G505" t="s">
        <v>133</v>
      </c>
      <c r="H505" t="s">
        <v>133</v>
      </c>
      <c r="I505" t="s">
        <v>133</v>
      </c>
      <c r="M505" t="s">
        <v>282</v>
      </c>
      <c r="O505" t="s">
        <v>161</v>
      </c>
      <c r="R505" t="s">
        <v>1219</v>
      </c>
      <c r="S505" t="s">
        <v>1220</v>
      </c>
      <c r="T505" t="s">
        <v>487</v>
      </c>
    </row>
    <row r="506" spans="1:20" x14ac:dyDescent="0.2">
      <c r="A506" t="s">
        <v>1461</v>
      </c>
      <c r="B506" t="s">
        <v>1462</v>
      </c>
      <c r="C506" t="s">
        <v>1463</v>
      </c>
      <c r="D506" t="s">
        <v>35</v>
      </c>
      <c r="E506" t="s">
        <v>133</v>
      </c>
      <c r="F506" t="s">
        <v>133</v>
      </c>
      <c r="G506" t="s">
        <v>133</v>
      </c>
      <c r="H506" t="s">
        <v>133</v>
      </c>
      <c r="I506" t="s">
        <v>133</v>
      </c>
      <c r="M506" t="s">
        <v>282</v>
      </c>
      <c r="O506" t="s">
        <v>161</v>
      </c>
      <c r="R506" t="s">
        <v>1219</v>
      </c>
      <c r="S506" t="s">
        <v>1220</v>
      </c>
      <c r="T506" t="s">
        <v>487</v>
      </c>
    </row>
    <row r="507" spans="1:20" x14ac:dyDescent="0.2">
      <c r="A507" t="s">
        <v>1464</v>
      </c>
      <c r="B507" t="s">
        <v>1465</v>
      </c>
      <c r="C507" t="s">
        <v>1466</v>
      </c>
      <c r="D507" t="s">
        <v>35</v>
      </c>
      <c r="E507" t="s">
        <v>133</v>
      </c>
      <c r="F507" t="s">
        <v>133</v>
      </c>
      <c r="G507" t="s">
        <v>133</v>
      </c>
      <c r="H507" t="s">
        <v>133</v>
      </c>
      <c r="I507" t="s">
        <v>133</v>
      </c>
      <c r="M507" t="s">
        <v>282</v>
      </c>
      <c r="O507" t="s">
        <v>161</v>
      </c>
      <c r="R507" t="s">
        <v>1219</v>
      </c>
      <c r="S507" t="s">
        <v>1220</v>
      </c>
      <c r="T507" t="s">
        <v>487</v>
      </c>
    </row>
    <row r="508" spans="1:20" x14ac:dyDescent="0.2">
      <c r="A508" t="s">
        <v>1467</v>
      </c>
      <c r="B508" t="s">
        <v>1468</v>
      </c>
      <c r="C508" t="s">
        <v>1469</v>
      </c>
      <c r="D508" t="s">
        <v>35</v>
      </c>
      <c r="E508" t="s">
        <v>133</v>
      </c>
      <c r="F508" t="s">
        <v>133</v>
      </c>
      <c r="G508" t="s">
        <v>133</v>
      </c>
      <c r="H508" t="s">
        <v>133</v>
      </c>
      <c r="I508" t="s">
        <v>133</v>
      </c>
      <c r="M508" t="s">
        <v>282</v>
      </c>
      <c r="O508" t="s">
        <v>161</v>
      </c>
      <c r="R508" t="s">
        <v>1219</v>
      </c>
      <c r="S508" t="s">
        <v>1220</v>
      </c>
      <c r="T508" t="s">
        <v>487</v>
      </c>
    </row>
    <row r="509" spans="1:20" x14ac:dyDescent="0.2">
      <c r="A509" t="s">
        <v>1470</v>
      </c>
      <c r="B509" t="s">
        <v>1471</v>
      </c>
      <c r="C509" t="s">
        <v>1472</v>
      </c>
      <c r="D509" t="s">
        <v>35</v>
      </c>
      <c r="E509" t="s">
        <v>133</v>
      </c>
      <c r="F509" t="s">
        <v>133</v>
      </c>
      <c r="G509" t="s">
        <v>133</v>
      </c>
      <c r="H509" t="s">
        <v>133</v>
      </c>
      <c r="I509" t="s">
        <v>133</v>
      </c>
      <c r="M509" t="s">
        <v>282</v>
      </c>
      <c r="O509" t="s">
        <v>161</v>
      </c>
      <c r="R509" t="s">
        <v>1219</v>
      </c>
      <c r="S509" t="s">
        <v>1220</v>
      </c>
      <c r="T509" t="s">
        <v>487</v>
      </c>
    </row>
    <row r="510" spans="1:20" x14ac:dyDescent="0.2">
      <c r="A510" t="s">
        <v>1473</v>
      </c>
      <c r="B510" t="s">
        <v>1474</v>
      </c>
      <c r="C510" t="s">
        <v>1475</v>
      </c>
      <c r="D510" t="s">
        <v>35</v>
      </c>
      <c r="E510" t="s">
        <v>133</v>
      </c>
      <c r="F510" t="s">
        <v>133</v>
      </c>
      <c r="G510" t="s">
        <v>133</v>
      </c>
      <c r="H510" t="s">
        <v>133</v>
      </c>
      <c r="I510" t="s">
        <v>133</v>
      </c>
      <c r="M510" t="s">
        <v>282</v>
      </c>
      <c r="O510" t="s">
        <v>161</v>
      </c>
      <c r="R510" t="s">
        <v>1219</v>
      </c>
      <c r="S510" t="s">
        <v>1220</v>
      </c>
      <c r="T510" t="s">
        <v>487</v>
      </c>
    </row>
    <row r="511" spans="1:20" x14ac:dyDescent="0.2">
      <c r="A511" t="s">
        <v>1476</v>
      </c>
      <c r="B511" t="s">
        <v>1477</v>
      </c>
      <c r="C511" t="s">
        <v>1478</v>
      </c>
      <c r="D511" t="s">
        <v>35</v>
      </c>
      <c r="E511" t="s">
        <v>133</v>
      </c>
      <c r="F511" t="s">
        <v>133</v>
      </c>
      <c r="G511" t="s">
        <v>133</v>
      </c>
      <c r="H511" t="s">
        <v>133</v>
      </c>
      <c r="I511" t="s">
        <v>133</v>
      </c>
      <c r="M511" t="s">
        <v>282</v>
      </c>
      <c r="O511" t="s">
        <v>161</v>
      </c>
      <c r="R511" t="s">
        <v>1219</v>
      </c>
      <c r="S511" t="s">
        <v>1220</v>
      </c>
      <c r="T511" t="s">
        <v>487</v>
      </c>
    </row>
    <row r="512" spans="1:20" x14ac:dyDescent="0.2">
      <c r="A512" t="s">
        <v>1479</v>
      </c>
      <c r="B512" t="s">
        <v>1480</v>
      </c>
      <c r="C512" t="s">
        <v>1481</v>
      </c>
      <c r="D512" t="s">
        <v>35</v>
      </c>
      <c r="E512" t="s">
        <v>133</v>
      </c>
      <c r="F512" t="s">
        <v>133</v>
      </c>
      <c r="G512" t="s">
        <v>133</v>
      </c>
      <c r="H512" t="s">
        <v>133</v>
      </c>
      <c r="I512" t="s">
        <v>133</v>
      </c>
      <c r="M512" t="s">
        <v>282</v>
      </c>
      <c r="O512" t="s">
        <v>161</v>
      </c>
      <c r="R512" t="s">
        <v>1219</v>
      </c>
      <c r="S512" t="s">
        <v>1220</v>
      </c>
      <c r="T512" t="s">
        <v>487</v>
      </c>
    </row>
    <row r="513" spans="1:20" x14ac:dyDescent="0.2">
      <c r="A513" t="s">
        <v>1482</v>
      </c>
      <c r="B513" t="s">
        <v>1483</v>
      </c>
      <c r="C513" t="s">
        <v>1484</v>
      </c>
      <c r="D513" t="s">
        <v>35</v>
      </c>
      <c r="E513" t="s">
        <v>133</v>
      </c>
      <c r="F513" t="s">
        <v>133</v>
      </c>
      <c r="G513" t="s">
        <v>133</v>
      </c>
      <c r="H513" t="s">
        <v>133</v>
      </c>
      <c r="I513" t="s">
        <v>133</v>
      </c>
      <c r="M513" t="s">
        <v>282</v>
      </c>
      <c r="O513" t="s">
        <v>161</v>
      </c>
      <c r="R513" t="s">
        <v>1219</v>
      </c>
      <c r="S513" t="s">
        <v>1220</v>
      </c>
      <c r="T513" t="s">
        <v>487</v>
      </c>
    </row>
    <row r="514" spans="1:20" x14ac:dyDescent="0.2">
      <c r="A514" t="s">
        <v>1485</v>
      </c>
      <c r="B514" t="s">
        <v>1486</v>
      </c>
      <c r="C514" t="s">
        <v>1487</v>
      </c>
      <c r="D514" t="s">
        <v>35</v>
      </c>
      <c r="E514" t="s">
        <v>133</v>
      </c>
      <c r="F514" t="s">
        <v>133</v>
      </c>
      <c r="G514" t="s">
        <v>133</v>
      </c>
      <c r="H514" t="s">
        <v>133</v>
      </c>
      <c r="I514" t="s">
        <v>133</v>
      </c>
      <c r="M514" t="s">
        <v>282</v>
      </c>
      <c r="O514" t="s">
        <v>161</v>
      </c>
      <c r="R514" t="s">
        <v>1219</v>
      </c>
      <c r="S514" t="s">
        <v>1220</v>
      </c>
      <c r="T514" t="s">
        <v>487</v>
      </c>
    </row>
    <row r="515" spans="1:20" x14ac:dyDescent="0.2">
      <c r="A515" t="s">
        <v>1488</v>
      </c>
      <c r="B515" t="s">
        <v>1489</v>
      </c>
      <c r="C515" t="s">
        <v>1490</v>
      </c>
      <c r="D515" t="s">
        <v>35</v>
      </c>
      <c r="E515" t="s">
        <v>133</v>
      </c>
      <c r="F515" t="s">
        <v>133</v>
      </c>
      <c r="G515" t="s">
        <v>133</v>
      </c>
      <c r="H515" t="s">
        <v>133</v>
      </c>
      <c r="I515" t="s">
        <v>133</v>
      </c>
      <c r="M515" t="s">
        <v>282</v>
      </c>
      <c r="O515" t="s">
        <v>161</v>
      </c>
      <c r="R515" t="s">
        <v>1219</v>
      </c>
      <c r="S515" t="s">
        <v>1220</v>
      </c>
      <c r="T515" t="s">
        <v>487</v>
      </c>
    </row>
    <row r="516" spans="1:20" x14ac:dyDescent="0.2">
      <c r="A516" t="s">
        <v>1491</v>
      </c>
      <c r="B516" t="s">
        <v>1492</v>
      </c>
      <c r="C516" t="s">
        <v>1493</v>
      </c>
      <c r="D516" t="s">
        <v>35</v>
      </c>
      <c r="E516" t="s">
        <v>133</v>
      </c>
      <c r="F516" t="s">
        <v>133</v>
      </c>
      <c r="G516" t="s">
        <v>133</v>
      </c>
      <c r="H516" t="s">
        <v>133</v>
      </c>
      <c r="I516" t="s">
        <v>133</v>
      </c>
      <c r="M516" t="s">
        <v>282</v>
      </c>
      <c r="O516" t="s">
        <v>161</v>
      </c>
      <c r="R516" t="s">
        <v>1219</v>
      </c>
      <c r="S516" t="s">
        <v>1220</v>
      </c>
      <c r="T516" t="s">
        <v>487</v>
      </c>
    </row>
    <row r="517" spans="1:20" x14ac:dyDescent="0.2">
      <c r="A517" t="s">
        <v>1494</v>
      </c>
      <c r="B517" t="s">
        <v>1495</v>
      </c>
      <c r="C517" t="s">
        <v>1496</v>
      </c>
      <c r="D517" t="s">
        <v>35</v>
      </c>
      <c r="E517" t="s">
        <v>133</v>
      </c>
      <c r="F517" t="s">
        <v>133</v>
      </c>
      <c r="G517" t="s">
        <v>133</v>
      </c>
      <c r="H517" t="s">
        <v>133</v>
      </c>
      <c r="I517" t="s">
        <v>133</v>
      </c>
      <c r="M517" t="s">
        <v>282</v>
      </c>
      <c r="O517" t="s">
        <v>161</v>
      </c>
      <c r="R517" t="s">
        <v>1219</v>
      </c>
      <c r="S517" t="s">
        <v>1220</v>
      </c>
      <c r="T517" t="s">
        <v>487</v>
      </c>
    </row>
    <row r="518" spans="1:20" x14ac:dyDescent="0.2">
      <c r="A518" t="s">
        <v>1497</v>
      </c>
      <c r="B518" t="s">
        <v>1498</v>
      </c>
      <c r="C518" t="s">
        <v>1499</v>
      </c>
      <c r="D518" t="s">
        <v>35</v>
      </c>
      <c r="E518" t="s">
        <v>133</v>
      </c>
      <c r="F518" t="s">
        <v>133</v>
      </c>
      <c r="G518" t="s">
        <v>133</v>
      </c>
      <c r="H518" t="s">
        <v>133</v>
      </c>
      <c r="I518" t="s">
        <v>133</v>
      </c>
      <c r="M518" t="s">
        <v>282</v>
      </c>
      <c r="O518" t="s">
        <v>161</v>
      </c>
      <c r="R518" t="s">
        <v>1219</v>
      </c>
      <c r="S518" t="s">
        <v>1220</v>
      </c>
      <c r="T518" t="s">
        <v>487</v>
      </c>
    </row>
    <row r="519" spans="1:20" x14ac:dyDescent="0.2">
      <c r="A519" t="s">
        <v>1500</v>
      </c>
      <c r="B519" t="s">
        <v>1501</v>
      </c>
      <c r="C519" t="s">
        <v>1502</v>
      </c>
      <c r="D519" t="s">
        <v>35</v>
      </c>
      <c r="E519" t="s">
        <v>133</v>
      </c>
      <c r="F519" t="s">
        <v>133</v>
      </c>
      <c r="G519" t="s">
        <v>133</v>
      </c>
      <c r="H519" t="s">
        <v>133</v>
      </c>
      <c r="I519" t="s">
        <v>133</v>
      </c>
      <c r="M519" t="s">
        <v>282</v>
      </c>
      <c r="O519" t="s">
        <v>161</v>
      </c>
      <c r="R519" t="s">
        <v>1219</v>
      </c>
      <c r="S519" t="s">
        <v>1220</v>
      </c>
      <c r="T519" t="s">
        <v>487</v>
      </c>
    </row>
    <row r="520" spans="1:20" x14ac:dyDescent="0.2">
      <c r="A520" t="s">
        <v>1503</v>
      </c>
      <c r="B520" t="s">
        <v>1504</v>
      </c>
      <c r="C520" t="s">
        <v>1505</v>
      </c>
      <c r="D520" t="s">
        <v>35</v>
      </c>
      <c r="E520" t="s">
        <v>133</v>
      </c>
      <c r="F520" t="s">
        <v>133</v>
      </c>
      <c r="G520" t="s">
        <v>133</v>
      </c>
      <c r="H520" t="s">
        <v>133</v>
      </c>
      <c r="I520" t="s">
        <v>133</v>
      </c>
      <c r="M520" t="s">
        <v>282</v>
      </c>
      <c r="O520" t="s">
        <v>161</v>
      </c>
      <c r="R520" t="s">
        <v>1219</v>
      </c>
      <c r="S520" t="s">
        <v>1220</v>
      </c>
      <c r="T520" t="s">
        <v>487</v>
      </c>
    </row>
    <row r="521" spans="1:20" x14ac:dyDescent="0.2">
      <c r="A521" t="s">
        <v>1506</v>
      </c>
      <c r="B521" t="s">
        <v>1507</v>
      </c>
      <c r="C521" t="s">
        <v>1508</v>
      </c>
      <c r="D521" t="s">
        <v>35</v>
      </c>
      <c r="E521" t="s">
        <v>133</v>
      </c>
      <c r="F521" t="s">
        <v>133</v>
      </c>
      <c r="G521" t="s">
        <v>133</v>
      </c>
      <c r="H521" t="s">
        <v>133</v>
      </c>
      <c r="I521" t="s">
        <v>133</v>
      </c>
      <c r="M521" t="s">
        <v>282</v>
      </c>
      <c r="O521" t="s">
        <v>161</v>
      </c>
      <c r="R521" t="s">
        <v>1219</v>
      </c>
      <c r="S521" t="s">
        <v>1220</v>
      </c>
      <c r="T521" t="s">
        <v>487</v>
      </c>
    </row>
    <row r="522" spans="1:20" x14ac:dyDescent="0.2">
      <c r="A522" t="s">
        <v>1509</v>
      </c>
      <c r="B522" t="s">
        <v>1510</v>
      </c>
      <c r="C522" t="s">
        <v>1511</v>
      </c>
      <c r="D522" t="s">
        <v>35</v>
      </c>
      <c r="E522" t="s">
        <v>133</v>
      </c>
      <c r="F522" t="s">
        <v>133</v>
      </c>
      <c r="G522" t="s">
        <v>133</v>
      </c>
      <c r="H522" t="s">
        <v>133</v>
      </c>
      <c r="I522" t="s">
        <v>133</v>
      </c>
      <c r="M522" t="s">
        <v>282</v>
      </c>
      <c r="O522" t="s">
        <v>161</v>
      </c>
      <c r="R522" t="s">
        <v>1219</v>
      </c>
      <c r="S522" t="s">
        <v>1220</v>
      </c>
      <c r="T522" t="s">
        <v>487</v>
      </c>
    </row>
    <row r="523" spans="1:20" x14ac:dyDescent="0.2">
      <c r="A523" t="s">
        <v>1512</v>
      </c>
      <c r="B523" t="s">
        <v>1513</v>
      </c>
      <c r="C523" t="s">
        <v>1514</v>
      </c>
      <c r="D523" t="s">
        <v>35</v>
      </c>
      <c r="E523" t="s">
        <v>133</v>
      </c>
      <c r="F523" t="s">
        <v>133</v>
      </c>
      <c r="G523" t="s">
        <v>133</v>
      </c>
      <c r="H523" t="s">
        <v>133</v>
      </c>
      <c r="I523" t="s">
        <v>133</v>
      </c>
      <c r="M523" t="s">
        <v>282</v>
      </c>
      <c r="O523" t="s">
        <v>161</v>
      </c>
      <c r="R523" t="s">
        <v>1219</v>
      </c>
      <c r="S523" t="s">
        <v>1220</v>
      </c>
      <c r="T523" t="s">
        <v>487</v>
      </c>
    </row>
    <row r="524" spans="1:20" x14ac:dyDescent="0.2">
      <c r="A524" t="s">
        <v>1515</v>
      </c>
      <c r="B524" t="s">
        <v>1516</v>
      </c>
      <c r="C524" t="s">
        <v>1517</v>
      </c>
      <c r="D524" t="s">
        <v>35</v>
      </c>
      <c r="E524" t="s">
        <v>133</v>
      </c>
      <c r="F524" t="s">
        <v>133</v>
      </c>
      <c r="G524" t="s">
        <v>133</v>
      </c>
      <c r="H524" t="s">
        <v>133</v>
      </c>
      <c r="I524" t="s">
        <v>133</v>
      </c>
      <c r="M524" t="s">
        <v>282</v>
      </c>
      <c r="O524" t="s">
        <v>161</v>
      </c>
      <c r="R524" t="s">
        <v>1219</v>
      </c>
      <c r="S524" t="s">
        <v>1220</v>
      </c>
      <c r="T524" t="s">
        <v>487</v>
      </c>
    </row>
    <row r="525" spans="1:20" x14ac:dyDescent="0.2">
      <c r="A525" t="s">
        <v>1518</v>
      </c>
      <c r="B525" t="s">
        <v>1519</v>
      </c>
      <c r="C525" t="s">
        <v>1520</v>
      </c>
      <c r="D525" t="s">
        <v>35</v>
      </c>
      <c r="E525" t="s">
        <v>133</v>
      </c>
      <c r="F525" t="s">
        <v>133</v>
      </c>
      <c r="G525" t="s">
        <v>133</v>
      </c>
      <c r="H525" t="s">
        <v>133</v>
      </c>
      <c r="I525" t="s">
        <v>133</v>
      </c>
      <c r="M525" t="s">
        <v>282</v>
      </c>
      <c r="O525" t="s">
        <v>161</v>
      </c>
      <c r="R525" t="s">
        <v>1219</v>
      </c>
      <c r="S525" t="s">
        <v>1220</v>
      </c>
      <c r="T525" t="s">
        <v>487</v>
      </c>
    </row>
    <row r="526" spans="1:20" x14ac:dyDescent="0.2">
      <c r="A526" t="s">
        <v>1521</v>
      </c>
      <c r="B526" t="s">
        <v>1522</v>
      </c>
      <c r="C526" t="s">
        <v>1523</v>
      </c>
      <c r="D526" t="s">
        <v>35</v>
      </c>
      <c r="E526" t="s">
        <v>133</v>
      </c>
      <c r="F526" t="s">
        <v>133</v>
      </c>
      <c r="G526" t="s">
        <v>133</v>
      </c>
      <c r="H526" t="s">
        <v>133</v>
      </c>
      <c r="I526" t="s">
        <v>133</v>
      </c>
      <c r="M526" t="s">
        <v>282</v>
      </c>
      <c r="O526" t="s">
        <v>161</v>
      </c>
      <c r="R526" t="s">
        <v>1219</v>
      </c>
      <c r="S526" t="s">
        <v>1220</v>
      </c>
      <c r="T526" t="s">
        <v>487</v>
      </c>
    </row>
    <row r="527" spans="1:20" x14ac:dyDescent="0.2">
      <c r="A527" t="s">
        <v>1524</v>
      </c>
      <c r="B527" t="s">
        <v>1525</v>
      </c>
      <c r="C527" t="s">
        <v>1526</v>
      </c>
      <c r="D527" t="s">
        <v>35</v>
      </c>
      <c r="E527" t="s">
        <v>133</v>
      </c>
      <c r="F527" t="s">
        <v>133</v>
      </c>
      <c r="G527" t="s">
        <v>133</v>
      </c>
      <c r="H527" t="s">
        <v>133</v>
      </c>
      <c r="I527" t="s">
        <v>133</v>
      </c>
      <c r="M527" t="s">
        <v>282</v>
      </c>
      <c r="O527" t="s">
        <v>161</v>
      </c>
      <c r="R527" t="s">
        <v>1219</v>
      </c>
      <c r="S527" t="s">
        <v>1220</v>
      </c>
      <c r="T527" t="s">
        <v>487</v>
      </c>
    </row>
    <row r="528" spans="1:20" x14ac:dyDescent="0.2">
      <c r="A528" t="s">
        <v>1527</v>
      </c>
      <c r="B528" t="s">
        <v>1528</v>
      </c>
      <c r="C528" t="s">
        <v>1529</v>
      </c>
      <c r="D528" t="s">
        <v>35</v>
      </c>
      <c r="E528" t="s">
        <v>133</v>
      </c>
      <c r="F528" t="s">
        <v>133</v>
      </c>
      <c r="G528" t="s">
        <v>133</v>
      </c>
      <c r="H528" t="s">
        <v>133</v>
      </c>
      <c r="I528" t="s">
        <v>133</v>
      </c>
      <c r="M528" t="s">
        <v>282</v>
      </c>
      <c r="O528" t="s">
        <v>161</v>
      </c>
      <c r="R528" t="s">
        <v>1219</v>
      </c>
      <c r="S528" t="s">
        <v>1220</v>
      </c>
      <c r="T528" t="s">
        <v>487</v>
      </c>
    </row>
    <row r="529" spans="1:20" x14ac:dyDescent="0.2">
      <c r="A529" t="s">
        <v>1530</v>
      </c>
      <c r="B529" t="s">
        <v>1531</v>
      </c>
      <c r="C529" t="s">
        <v>1532</v>
      </c>
      <c r="D529" t="s">
        <v>35</v>
      </c>
      <c r="E529" t="s">
        <v>133</v>
      </c>
      <c r="F529" t="s">
        <v>133</v>
      </c>
      <c r="G529" t="s">
        <v>133</v>
      </c>
      <c r="H529" t="s">
        <v>133</v>
      </c>
      <c r="I529" t="s">
        <v>133</v>
      </c>
      <c r="M529" t="s">
        <v>282</v>
      </c>
      <c r="O529" t="s">
        <v>161</v>
      </c>
      <c r="R529" t="s">
        <v>1219</v>
      </c>
      <c r="S529" t="s">
        <v>1220</v>
      </c>
      <c r="T529" t="s">
        <v>487</v>
      </c>
    </row>
    <row r="530" spans="1:20" x14ac:dyDescent="0.2">
      <c r="A530" t="s">
        <v>1533</v>
      </c>
      <c r="B530" t="s">
        <v>1534</v>
      </c>
      <c r="C530" t="s">
        <v>1535</v>
      </c>
      <c r="D530" t="s">
        <v>35</v>
      </c>
      <c r="E530" t="s">
        <v>133</v>
      </c>
      <c r="F530" t="s">
        <v>133</v>
      </c>
      <c r="G530" t="s">
        <v>133</v>
      </c>
      <c r="H530" t="s">
        <v>133</v>
      </c>
      <c r="I530" t="s">
        <v>133</v>
      </c>
      <c r="M530" t="s">
        <v>282</v>
      </c>
      <c r="O530" t="s">
        <v>161</v>
      </c>
      <c r="R530" t="s">
        <v>1219</v>
      </c>
      <c r="S530" t="s">
        <v>1220</v>
      </c>
      <c r="T530" t="s">
        <v>487</v>
      </c>
    </row>
    <row r="531" spans="1:20" x14ac:dyDescent="0.2">
      <c r="A531" t="s">
        <v>1536</v>
      </c>
      <c r="B531" t="s">
        <v>1537</v>
      </c>
      <c r="C531" t="s">
        <v>1538</v>
      </c>
      <c r="D531" t="s">
        <v>35</v>
      </c>
      <c r="E531" t="s">
        <v>133</v>
      </c>
      <c r="F531" t="s">
        <v>133</v>
      </c>
      <c r="G531" t="s">
        <v>133</v>
      </c>
      <c r="H531" t="s">
        <v>133</v>
      </c>
      <c r="I531" t="s">
        <v>133</v>
      </c>
      <c r="M531" t="s">
        <v>282</v>
      </c>
      <c r="O531" t="s">
        <v>161</v>
      </c>
      <c r="R531" t="s">
        <v>1219</v>
      </c>
      <c r="S531" t="s">
        <v>1220</v>
      </c>
      <c r="T531" t="s">
        <v>487</v>
      </c>
    </row>
    <row r="532" spans="1:20" x14ac:dyDescent="0.2">
      <c r="A532" t="s">
        <v>1539</v>
      </c>
      <c r="B532" t="s">
        <v>1540</v>
      </c>
      <c r="C532" t="s">
        <v>1541</v>
      </c>
      <c r="D532" t="s">
        <v>35</v>
      </c>
      <c r="E532" t="s">
        <v>133</v>
      </c>
      <c r="F532" t="s">
        <v>133</v>
      </c>
      <c r="G532" t="s">
        <v>133</v>
      </c>
      <c r="H532" t="s">
        <v>133</v>
      </c>
      <c r="I532" t="s">
        <v>133</v>
      </c>
      <c r="M532" t="s">
        <v>282</v>
      </c>
      <c r="O532" t="s">
        <v>161</v>
      </c>
      <c r="R532" t="s">
        <v>1219</v>
      </c>
      <c r="S532" t="s">
        <v>1220</v>
      </c>
      <c r="T532" t="s">
        <v>487</v>
      </c>
    </row>
    <row r="533" spans="1:20" x14ac:dyDescent="0.2">
      <c r="A533" t="s">
        <v>1542</v>
      </c>
      <c r="B533" t="s">
        <v>1543</v>
      </c>
      <c r="C533" t="s">
        <v>1544</v>
      </c>
      <c r="D533" t="s">
        <v>35</v>
      </c>
      <c r="E533" t="s">
        <v>133</v>
      </c>
      <c r="F533" t="s">
        <v>133</v>
      </c>
      <c r="G533" t="s">
        <v>133</v>
      </c>
      <c r="H533" t="s">
        <v>133</v>
      </c>
      <c r="I533" t="s">
        <v>133</v>
      </c>
      <c r="M533" t="s">
        <v>282</v>
      </c>
      <c r="O533" t="s">
        <v>161</v>
      </c>
      <c r="R533" t="s">
        <v>1219</v>
      </c>
      <c r="S533" t="s">
        <v>1220</v>
      </c>
      <c r="T533" t="s">
        <v>487</v>
      </c>
    </row>
    <row r="534" spans="1:20" x14ac:dyDescent="0.2">
      <c r="A534" t="s">
        <v>1545</v>
      </c>
      <c r="B534" t="s">
        <v>1546</v>
      </c>
      <c r="C534" t="s">
        <v>1547</v>
      </c>
      <c r="D534" t="s">
        <v>35</v>
      </c>
      <c r="E534" t="s">
        <v>133</v>
      </c>
      <c r="F534" t="s">
        <v>133</v>
      </c>
      <c r="G534" t="s">
        <v>133</v>
      </c>
      <c r="H534" t="s">
        <v>133</v>
      </c>
      <c r="I534" t="s">
        <v>133</v>
      </c>
      <c r="M534" t="s">
        <v>282</v>
      </c>
      <c r="O534" t="s">
        <v>161</v>
      </c>
      <c r="R534" t="s">
        <v>1219</v>
      </c>
      <c r="S534" t="s">
        <v>1220</v>
      </c>
      <c r="T534" t="s">
        <v>487</v>
      </c>
    </row>
    <row r="535" spans="1:20" x14ac:dyDescent="0.2">
      <c r="A535" t="s">
        <v>1548</v>
      </c>
      <c r="B535" t="s">
        <v>1549</v>
      </c>
      <c r="C535" t="s">
        <v>1550</v>
      </c>
      <c r="D535" t="s">
        <v>35</v>
      </c>
      <c r="E535" t="s">
        <v>133</v>
      </c>
      <c r="F535" t="s">
        <v>133</v>
      </c>
      <c r="G535" t="s">
        <v>133</v>
      </c>
      <c r="H535" t="s">
        <v>133</v>
      </c>
      <c r="I535" t="s">
        <v>133</v>
      </c>
      <c r="M535" t="s">
        <v>282</v>
      </c>
      <c r="O535" t="s">
        <v>161</v>
      </c>
      <c r="R535" t="s">
        <v>1219</v>
      </c>
      <c r="S535" t="s">
        <v>1220</v>
      </c>
      <c r="T535" t="s">
        <v>487</v>
      </c>
    </row>
    <row r="536" spans="1:20" x14ac:dyDescent="0.2">
      <c r="A536" t="s">
        <v>1551</v>
      </c>
      <c r="B536" t="s">
        <v>1552</v>
      </c>
      <c r="C536" t="s">
        <v>1553</v>
      </c>
      <c r="D536" t="s">
        <v>35</v>
      </c>
      <c r="E536" t="s">
        <v>133</v>
      </c>
      <c r="F536" t="s">
        <v>133</v>
      </c>
      <c r="G536" t="s">
        <v>133</v>
      </c>
      <c r="H536" t="s">
        <v>133</v>
      </c>
      <c r="I536" t="s">
        <v>133</v>
      </c>
      <c r="M536" t="s">
        <v>282</v>
      </c>
      <c r="O536" t="s">
        <v>161</v>
      </c>
      <c r="R536" t="s">
        <v>1219</v>
      </c>
      <c r="S536" t="s">
        <v>1220</v>
      </c>
      <c r="T536" t="s">
        <v>487</v>
      </c>
    </row>
    <row r="537" spans="1:20" x14ac:dyDescent="0.2">
      <c r="A537" t="s">
        <v>1554</v>
      </c>
      <c r="B537" t="s">
        <v>1555</v>
      </c>
      <c r="C537" t="s">
        <v>1556</v>
      </c>
      <c r="D537" t="s">
        <v>35</v>
      </c>
      <c r="E537" t="s">
        <v>133</v>
      </c>
      <c r="F537" t="s">
        <v>133</v>
      </c>
      <c r="G537" t="s">
        <v>133</v>
      </c>
      <c r="H537" t="s">
        <v>133</v>
      </c>
      <c r="I537" t="s">
        <v>133</v>
      </c>
      <c r="M537" t="s">
        <v>282</v>
      </c>
      <c r="O537" t="s">
        <v>161</v>
      </c>
      <c r="R537" t="s">
        <v>1219</v>
      </c>
      <c r="S537" t="s">
        <v>1220</v>
      </c>
      <c r="T537" t="s">
        <v>487</v>
      </c>
    </row>
    <row r="538" spans="1:20" x14ac:dyDescent="0.2">
      <c r="A538" t="s">
        <v>1557</v>
      </c>
      <c r="B538" t="s">
        <v>1558</v>
      </c>
      <c r="C538" t="s">
        <v>1559</v>
      </c>
      <c r="D538" t="s">
        <v>35</v>
      </c>
      <c r="E538" t="s">
        <v>133</v>
      </c>
      <c r="F538" t="s">
        <v>133</v>
      </c>
      <c r="G538" t="s">
        <v>133</v>
      </c>
      <c r="H538" t="s">
        <v>133</v>
      </c>
      <c r="I538" t="s">
        <v>133</v>
      </c>
      <c r="M538" t="s">
        <v>282</v>
      </c>
      <c r="O538" t="s">
        <v>161</v>
      </c>
      <c r="R538" t="s">
        <v>1219</v>
      </c>
      <c r="S538" t="s">
        <v>1220</v>
      </c>
      <c r="T538" t="s">
        <v>487</v>
      </c>
    </row>
    <row r="539" spans="1:20" x14ac:dyDescent="0.2">
      <c r="A539" t="s">
        <v>1560</v>
      </c>
      <c r="B539" t="s">
        <v>1561</v>
      </c>
      <c r="C539" t="s">
        <v>1562</v>
      </c>
      <c r="D539" t="s">
        <v>35</v>
      </c>
      <c r="E539" t="s">
        <v>133</v>
      </c>
      <c r="F539" t="s">
        <v>133</v>
      </c>
      <c r="G539" t="s">
        <v>133</v>
      </c>
      <c r="H539" t="s">
        <v>133</v>
      </c>
      <c r="I539" t="s">
        <v>133</v>
      </c>
      <c r="M539" t="s">
        <v>282</v>
      </c>
      <c r="O539" t="s">
        <v>161</v>
      </c>
      <c r="R539" t="s">
        <v>1219</v>
      </c>
      <c r="S539" t="s">
        <v>1220</v>
      </c>
      <c r="T539" t="s">
        <v>487</v>
      </c>
    </row>
    <row r="540" spans="1:20" x14ac:dyDescent="0.2">
      <c r="A540" t="s">
        <v>1563</v>
      </c>
      <c r="B540" t="s">
        <v>1564</v>
      </c>
      <c r="C540" t="s">
        <v>1565</v>
      </c>
      <c r="D540" t="s">
        <v>35</v>
      </c>
      <c r="E540" t="s">
        <v>133</v>
      </c>
      <c r="F540" t="s">
        <v>133</v>
      </c>
      <c r="G540" t="s">
        <v>133</v>
      </c>
      <c r="H540" t="s">
        <v>133</v>
      </c>
      <c r="I540" t="s">
        <v>133</v>
      </c>
      <c r="M540" t="s">
        <v>282</v>
      </c>
      <c r="O540" t="s">
        <v>161</v>
      </c>
      <c r="R540" t="s">
        <v>1219</v>
      </c>
      <c r="S540" t="s">
        <v>1220</v>
      </c>
      <c r="T540" t="s">
        <v>487</v>
      </c>
    </row>
    <row r="541" spans="1:20" x14ac:dyDescent="0.2">
      <c r="A541" t="s">
        <v>1566</v>
      </c>
      <c r="B541" t="s">
        <v>1567</v>
      </c>
      <c r="C541" t="s">
        <v>1568</v>
      </c>
      <c r="D541" t="s">
        <v>35</v>
      </c>
      <c r="E541" t="s">
        <v>133</v>
      </c>
      <c r="F541" t="s">
        <v>133</v>
      </c>
      <c r="G541" t="s">
        <v>133</v>
      </c>
      <c r="H541" t="s">
        <v>133</v>
      </c>
      <c r="I541" t="s">
        <v>133</v>
      </c>
      <c r="M541" t="s">
        <v>282</v>
      </c>
      <c r="O541" t="s">
        <v>161</v>
      </c>
      <c r="R541" t="s">
        <v>1219</v>
      </c>
      <c r="S541" t="s">
        <v>1220</v>
      </c>
      <c r="T541" t="s">
        <v>487</v>
      </c>
    </row>
    <row r="542" spans="1:20" x14ac:dyDescent="0.2">
      <c r="A542" t="s">
        <v>1569</v>
      </c>
      <c r="B542" t="s">
        <v>1570</v>
      </c>
      <c r="C542" t="s">
        <v>1571</v>
      </c>
      <c r="D542" t="s">
        <v>35</v>
      </c>
      <c r="E542" t="s">
        <v>133</v>
      </c>
      <c r="F542" t="s">
        <v>133</v>
      </c>
      <c r="G542" t="s">
        <v>133</v>
      </c>
      <c r="H542" t="s">
        <v>133</v>
      </c>
      <c r="I542" t="s">
        <v>133</v>
      </c>
      <c r="M542" t="s">
        <v>282</v>
      </c>
      <c r="O542" t="s">
        <v>161</v>
      </c>
      <c r="R542" t="s">
        <v>1219</v>
      </c>
      <c r="S542" t="s">
        <v>1220</v>
      </c>
      <c r="T542" t="s">
        <v>487</v>
      </c>
    </row>
    <row r="543" spans="1:20" x14ac:dyDescent="0.2">
      <c r="A543" t="s">
        <v>1572</v>
      </c>
      <c r="B543" t="s">
        <v>1573</v>
      </c>
      <c r="C543" t="s">
        <v>1574</v>
      </c>
      <c r="D543" t="s">
        <v>35</v>
      </c>
      <c r="E543" t="s">
        <v>133</v>
      </c>
      <c r="F543" t="s">
        <v>133</v>
      </c>
      <c r="G543" t="s">
        <v>133</v>
      </c>
      <c r="H543" t="s">
        <v>133</v>
      </c>
      <c r="I543" t="s">
        <v>133</v>
      </c>
      <c r="M543" t="s">
        <v>282</v>
      </c>
      <c r="O543" t="s">
        <v>161</v>
      </c>
      <c r="R543" t="s">
        <v>1219</v>
      </c>
      <c r="S543" t="s">
        <v>1220</v>
      </c>
      <c r="T543" t="s">
        <v>487</v>
      </c>
    </row>
    <row r="544" spans="1:20" x14ac:dyDescent="0.2">
      <c r="A544" t="s">
        <v>1575</v>
      </c>
      <c r="B544" t="s">
        <v>1576</v>
      </c>
      <c r="C544" t="s">
        <v>1577</v>
      </c>
      <c r="D544" t="s">
        <v>35</v>
      </c>
      <c r="E544" t="s">
        <v>133</v>
      </c>
      <c r="F544" t="s">
        <v>133</v>
      </c>
      <c r="G544" t="s">
        <v>133</v>
      </c>
      <c r="H544" t="s">
        <v>133</v>
      </c>
      <c r="I544" t="s">
        <v>133</v>
      </c>
      <c r="M544" t="s">
        <v>282</v>
      </c>
      <c r="O544" t="s">
        <v>161</v>
      </c>
      <c r="R544" t="s">
        <v>1219</v>
      </c>
      <c r="S544" t="s">
        <v>1220</v>
      </c>
      <c r="T544" t="s">
        <v>487</v>
      </c>
    </row>
    <row r="545" spans="1:20" x14ac:dyDescent="0.2">
      <c r="A545" t="s">
        <v>1578</v>
      </c>
      <c r="B545" t="s">
        <v>1579</v>
      </c>
      <c r="C545" t="s">
        <v>1580</v>
      </c>
      <c r="D545" t="s">
        <v>35</v>
      </c>
      <c r="E545" t="s">
        <v>133</v>
      </c>
      <c r="F545" t="s">
        <v>133</v>
      </c>
      <c r="G545" t="s">
        <v>133</v>
      </c>
      <c r="H545" t="s">
        <v>133</v>
      </c>
      <c r="I545" t="s">
        <v>133</v>
      </c>
      <c r="M545" t="s">
        <v>282</v>
      </c>
      <c r="O545" t="s">
        <v>161</v>
      </c>
      <c r="R545" t="s">
        <v>1219</v>
      </c>
      <c r="S545" t="s">
        <v>1220</v>
      </c>
      <c r="T545" t="s">
        <v>487</v>
      </c>
    </row>
    <row r="546" spans="1:20" x14ac:dyDescent="0.2">
      <c r="A546" t="s">
        <v>1581</v>
      </c>
      <c r="B546" t="s">
        <v>1582</v>
      </c>
      <c r="C546" t="s">
        <v>1583</v>
      </c>
      <c r="D546" t="s">
        <v>35</v>
      </c>
      <c r="E546" t="s">
        <v>133</v>
      </c>
      <c r="F546" t="s">
        <v>133</v>
      </c>
      <c r="G546" t="s">
        <v>133</v>
      </c>
      <c r="H546" t="s">
        <v>133</v>
      </c>
      <c r="I546" t="s">
        <v>133</v>
      </c>
      <c r="M546" t="s">
        <v>282</v>
      </c>
      <c r="O546" t="s">
        <v>161</v>
      </c>
      <c r="R546" t="s">
        <v>1219</v>
      </c>
      <c r="S546" t="s">
        <v>1220</v>
      </c>
      <c r="T546" t="s">
        <v>487</v>
      </c>
    </row>
    <row r="547" spans="1:20" x14ac:dyDescent="0.2">
      <c r="A547" t="s">
        <v>1584</v>
      </c>
      <c r="B547" t="s">
        <v>1585</v>
      </c>
      <c r="C547" t="s">
        <v>1586</v>
      </c>
      <c r="D547" t="s">
        <v>35</v>
      </c>
      <c r="E547" t="s">
        <v>133</v>
      </c>
      <c r="F547" t="s">
        <v>133</v>
      </c>
      <c r="G547" t="s">
        <v>133</v>
      </c>
      <c r="H547" t="s">
        <v>133</v>
      </c>
      <c r="I547" t="s">
        <v>133</v>
      </c>
      <c r="M547" t="s">
        <v>282</v>
      </c>
      <c r="O547" t="s">
        <v>161</v>
      </c>
      <c r="R547" t="s">
        <v>1219</v>
      </c>
      <c r="S547" t="s">
        <v>1220</v>
      </c>
      <c r="T547" t="s">
        <v>487</v>
      </c>
    </row>
    <row r="548" spans="1:20" x14ac:dyDescent="0.2">
      <c r="A548" t="s">
        <v>1587</v>
      </c>
      <c r="B548" t="s">
        <v>1588</v>
      </c>
      <c r="C548" t="s">
        <v>1589</v>
      </c>
      <c r="D548" t="s">
        <v>35</v>
      </c>
      <c r="E548" t="s">
        <v>133</v>
      </c>
      <c r="F548" t="s">
        <v>133</v>
      </c>
      <c r="G548" t="s">
        <v>133</v>
      </c>
      <c r="H548" t="s">
        <v>133</v>
      </c>
      <c r="I548" t="s">
        <v>133</v>
      </c>
      <c r="M548" t="s">
        <v>282</v>
      </c>
      <c r="O548" t="s">
        <v>161</v>
      </c>
      <c r="R548" t="s">
        <v>1219</v>
      </c>
      <c r="S548" t="s">
        <v>1220</v>
      </c>
      <c r="T548" t="s">
        <v>487</v>
      </c>
    </row>
    <row r="549" spans="1:20" x14ac:dyDescent="0.2">
      <c r="A549" t="s">
        <v>1590</v>
      </c>
      <c r="B549" t="s">
        <v>1591</v>
      </c>
      <c r="C549" t="s">
        <v>1592</v>
      </c>
      <c r="D549" t="s">
        <v>35</v>
      </c>
      <c r="E549" t="s">
        <v>133</v>
      </c>
      <c r="F549" t="s">
        <v>133</v>
      </c>
      <c r="G549" t="s">
        <v>133</v>
      </c>
      <c r="H549" t="s">
        <v>133</v>
      </c>
      <c r="I549" t="s">
        <v>133</v>
      </c>
      <c r="M549" t="s">
        <v>282</v>
      </c>
      <c r="O549" t="s">
        <v>161</v>
      </c>
      <c r="R549" t="s">
        <v>1219</v>
      </c>
      <c r="S549" t="s">
        <v>1220</v>
      </c>
      <c r="T549" t="s">
        <v>487</v>
      </c>
    </row>
    <row r="550" spans="1:20" x14ac:dyDescent="0.2">
      <c r="A550" t="s">
        <v>1593</v>
      </c>
      <c r="B550" t="s">
        <v>1594</v>
      </c>
      <c r="C550" t="s">
        <v>1595</v>
      </c>
      <c r="D550" t="s">
        <v>35</v>
      </c>
      <c r="E550" t="s">
        <v>133</v>
      </c>
      <c r="F550" t="s">
        <v>133</v>
      </c>
      <c r="G550" t="s">
        <v>133</v>
      </c>
      <c r="H550" t="s">
        <v>133</v>
      </c>
      <c r="I550" t="s">
        <v>133</v>
      </c>
      <c r="M550" t="s">
        <v>282</v>
      </c>
      <c r="O550" t="s">
        <v>161</v>
      </c>
      <c r="R550" t="s">
        <v>1219</v>
      </c>
      <c r="S550" t="s">
        <v>1220</v>
      </c>
      <c r="T550" t="s">
        <v>487</v>
      </c>
    </row>
    <row r="551" spans="1:20" x14ac:dyDescent="0.2">
      <c r="A551" t="s">
        <v>1596</v>
      </c>
      <c r="B551" t="s">
        <v>1597</v>
      </c>
      <c r="C551" t="s">
        <v>1598</v>
      </c>
      <c r="D551" t="s">
        <v>35</v>
      </c>
      <c r="E551" t="s">
        <v>133</v>
      </c>
      <c r="F551" t="s">
        <v>133</v>
      </c>
      <c r="G551" t="s">
        <v>133</v>
      </c>
      <c r="H551" t="s">
        <v>133</v>
      </c>
      <c r="I551" t="s">
        <v>133</v>
      </c>
      <c r="M551" t="s">
        <v>282</v>
      </c>
      <c r="O551" t="s">
        <v>161</v>
      </c>
      <c r="R551" t="s">
        <v>1219</v>
      </c>
      <c r="S551" t="s">
        <v>1220</v>
      </c>
      <c r="T551" t="s">
        <v>487</v>
      </c>
    </row>
    <row r="552" spans="1:20" x14ac:dyDescent="0.2">
      <c r="A552" t="s">
        <v>1599</v>
      </c>
      <c r="B552" t="s">
        <v>1600</v>
      </c>
      <c r="C552" t="s">
        <v>1601</v>
      </c>
      <c r="D552" t="s">
        <v>35</v>
      </c>
      <c r="E552" t="s">
        <v>133</v>
      </c>
      <c r="F552" t="s">
        <v>133</v>
      </c>
      <c r="G552" t="s">
        <v>133</v>
      </c>
      <c r="H552" t="s">
        <v>133</v>
      </c>
      <c r="I552" t="s">
        <v>133</v>
      </c>
      <c r="M552" t="s">
        <v>282</v>
      </c>
      <c r="O552" t="s">
        <v>161</v>
      </c>
      <c r="R552" t="s">
        <v>1219</v>
      </c>
      <c r="S552" t="s">
        <v>1220</v>
      </c>
      <c r="T552" t="s">
        <v>487</v>
      </c>
    </row>
    <row r="553" spans="1:20" x14ac:dyDescent="0.2">
      <c r="A553" t="s">
        <v>1602</v>
      </c>
      <c r="B553" t="s">
        <v>1603</v>
      </c>
      <c r="C553" t="s">
        <v>1604</v>
      </c>
      <c r="D553" t="s">
        <v>35</v>
      </c>
      <c r="E553" t="s">
        <v>133</v>
      </c>
      <c r="F553" t="s">
        <v>133</v>
      </c>
      <c r="G553" t="s">
        <v>133</v>
      </c>
      <c r="H553" t="s">
        <v>133</v>
      </c>
      <c r="I553" t="s">
        <v>133</v>
      </c>
      <c r="M553" t="s">
        <v>282</v>
      </c>
      <c r="O553" t="s">
        <v>161</v>
      </c>
      <c r="R553" t="s">
        <v>1219</v>
      </c>
      <c r="S553" t="s">
        <v>1220</v>
      </c>
      <c r="T553" t="s">
        <v>487</v>
      </c>
    </row>
    <row r="554" spans="1:20" x14ac:dyDescent="0.2">
      <c r="A554" t="s">
        <v>1605</v>
      </c>
      <c r="B554" t="s">
        <v>1606</v>
      </c>
      <c r="C554" t="s">
        <v>1607</v>
      </c>
      <c r="D554" t="s">
        <v>35</v>
      </c>
      <c r="E554" t="s">
        <v>133</v>
      </c>
      <c r="F554" t="s">
        <v>133</v>
      </c>
      <c r="G554" t="s">
        <v>133</v>
      </c>
      <c r="H554" t="s">
        <v>133</v>
      </c>
      <c r="I554" t="s">
        <v>133</v>
      </c>
      <c r="M554" t="s">
        <v>282</v>
      </c>
      <c r="O554" t="s">
        <v>161</v>
      </c>
      <c r="R554" t="s">
        <v>1219</v>
      </c>
      <c r="S554" t="s">
        <v>1220</v>
      </c>
      <c r="T554" t="s">
        <v>487</v>
      </c>
    </row>
    <row r="555" spans="1:20" x14ac:dyDescent="0.2">
      <c r="A555" t="s">
        <v>1608</v>
      </c>
      <c r="B555" t="s">
        <v>1609</v>
      </c>
      <c r="C555" t="s">
        <v>1610</v>
      </c>
      <c r="D555" t="s">
        <v>35</v>
      </c>
      <c r="E555" t="s">
        <v>133</v>
      </c>
      <c r="F555" t="s">
        <v>133</v>
      </c>
      <c r="G555" t="s">
        <v>133</v>
      </c>
      <c r="H555" t="s">
        <v>133</v>
      </c>
      <c r="I555" t="s">
        <v>133</v>
      </c>
      <c r="M555" t="s">
        <v>282</v>
      </c>
      <c r="O555" t="s">
        <v>161</v>
      </c>
      <c r="R555" t="s">
        <v>1219</v>
      </c>
      <c r="S555" t="s">
        <v>1220</v>
      </c>
      <c r="T555" t="s">
        <v>487</v>
      </c>
    </row>
    <row r="556" spans="1:20" x14ac:dyDescent="0.2">
      <c r="A556" t="s">
        <v>1611</v>
      </c>
      <c r="B556" t="s">
        <v>1612</v>
      </c>
      <c r="C556" t="s">
        <v>1613</v>
      </c>
      <c r="D556" t="s">
        <v>35</v>
      </c>
      <c r="E556" t="s">
        <v>133</v>
      </c>
      <c r="F556" t="s">
        <v>133</v>
      </c>
      <c r="G556" t="s">
        <v>133</v>
      </c>
      <c r="H556" t="s">
        <v>133</v>
      </c>
      <c r="I556" t="s">
        <v>133</v>
      </c>
      <c r="M556" t="s">
        <v>282</v>
      </c>
      <c r="O556" t="s">
        <v>161</v>
      </c>
      <c r="R556" t="s">
        <v>1219</v>
      </c>
      <c r="S556" t="s">
        <v>1220</v>
      </c>
      <c r="T556" t="s">
        <v>487</v>
      </c>
    </row>
    <row r="557" spans="1:20" x14ac:dyDescent="0.2">
      <c r="A557" t="s">
        <v>1614</v>
      </c>
      <c r="B557" t="s">
        <v>1615</v>
      </c>
      <c r="C557" t="s">
        <v>1616</v>
      </c>
      <c r="D557" t="s">
        <v>35</v>
      </c>
      <c r="E557" t="s">
        <v>133</v>
      </c>
      <c r="F557" t="s">
        <v>133</v>
      </c>
      <c r="G557" t="s">
        <v>133</v>
      </c>
      <c r="H557" t="s">
        <v>133</v>
      </c>
      <c r="I557" t="s">
        <v>133</v>
      </c>
      <c r="M557" t="s">
        <v>282</v>
      </c>
      <c r="O557" t="s">
        <v>161</v>
      </c>
      <c r="R557" t="s">
        <v>1219</v>
      </c>
      <c r="S557" t="s">
        <v>1220</v>
      </c>
      <c r="T557" t="s">
        <v>487</v>
      </c>
    </row>
    <row r="558" spans="1:20" x14ac:dyDescent="0.2">
      <c r="A558" t="s">
        <v>1617</v>
      </c>
      <c r="B558" t="s">
        <v>1618</v>
      </c>
      <c r="C558" t="s">
        <v>1619</v>
      </c>
      <c r="D558" t="s">
        <v>35</v>
      </c>
      <c r="E558" t="s">
        <v>133</v>
      </c>
      <c r="F558" t="s">
        <v>133</v>
      </c>
      <c r="G558" t="s">
        <v>133</v>
      </c>
      <c r="H558" t="s">
        <v>133</v>
      </c>
      <c r="I558" t="s">
        <v>133</v>
      </c>
      <c r="M558" t="s">
        <v>282</v>
      </c>
      <c r="O558" t="s">
        <v>161</v>
      </c>
      <c r="R558" t="s">
        <v>1219</v>
      </c>
      <c r="S558" t="s">
        <v>1220</v>
      </c>
      <c r="T558" t="s">
        <v>487</v>
      </c>
    </row>
    <row r="559" spans="1:20" x14ac:dyDescent="0.2">
      <c r="A559" t="s">
        <v>1620</v>
      </c>
      <c r="B559" t="s">
        <v>1621</v>
      </c>
      <c r="C559" t="s">
        <v>1622</v>
      </c>
      <c r="D559" t="s">
        <v>35</v>
      </c>
      <c r="E559" t="s">
        <v>133</v>
      </c>
      <c r="F559" t="s">
        <v>133</v>
      </c>
      <c r="G559" t="s">
        <v>133</v>
      </c>
      <c r="H559" t="s">
        <v>133</v>
      </c>
      <c r="I559" t="s">
        <v>133</v>
      </c>
      <c r="M559" t="s">
        <v>282</v>
      </c>
      <c r="O559" t="s">
        <v>161</v>
      </c>
      <c r="R559" t="s">
        <v>1219</v>
      </c>
      <c r="S559" t="s">
        <v>1220</v>
      </c>
      <c r="T559" t="s">
        <v>487</v>
      </c>
    </row>
    <row r="560" spans="1:20" x14ac:dyDescent="0.2">
      <c r="A560" t="s">
        <v>1623</v>
      </c>
      <c r="B560" t="s">
        <v>1624</v>
      </c>
      <c r="C560" t="s">
        <v>1625</v>
      </c>
      <c r="D560" t="s">
        <v>35</v>
      </c>
      <c r="E560" t="s">
        <v>133</v>
      </c>
      <c r="F560" t="s">
        <v>133</v>
      </c>
      <c r="G560" t="s">
        <v>133</v>
      </c>
      <c r="H560" t="s">
        <v>133</v>
      </c>
      <c r="I560" t="s">
        <v>133</v>
      </c>
      <c r="M560" t="s">
        <v>282</v>
      </c>
      <c r="O560" t="s">
        <v>161</v>
      </c>
      <c r="R560" t="s">
        <v>1219</v>
      </c>
      <c r="S560" t="s">
        <v>1220</v>
      </c>
      <c r="T560" t="s">
        <v>487</v>
      </c>
    </row>
    <row r="561" spans="1:20" x14ac:dyDescent="0.2">
      <c r="A561" t="s">
        <v>1626</v>
      </c>
      <c r="B561" t="s">
        <v>1627</v>
      </c>
      <c r="C561" t="s">
        <v>1628</v>
      </c>
      <c r="D561" t="s">
        <v>35</v>
      </c>
      <c r="E561" t="s">
        <v>133</v>
      </c>
      <c r="F561" t="s">
        <v>133</v>
      </c>
      <c r="G561" t="s">
        <v>133</v>
      </c>
      <c r="H561" t="s">
        <v>133</v>
      </c>
      <c r="I561" t="s">
        <v>133</v>
      </c>
      <c r="M561" t="s">
        <v>282</v>
      </c>
      <c r="O561" t="s">
        <v>161</v>
      </c>
      <c r="R561" t="s">
        <v>1219</v>
      </c>
      <c r="S561" t="s">
        <v>1220</v>
      </c>
      <c r="T561" t="s">
        <v>487</v>
      </c>
    </row>
    <row r="562" spans="1:20" x14ac:dyDescent="0.2">
      <c r="A562" t="s">
        <v>1629</v>
      </c>
      <c r="B562" t="s">
        <v>1630</v>
      </c>
      <c r="C562" t="s">
        <v>1631</v>
      </c>
      <c r="D562" t="s">
        <v>35</v>
      </c>
      <c r="E562" t="s">
        <v>133</v>
      </c>
      <c r="F562" t="s">
        <v>133</v>
      </c>
      <c r="G562" t="s">
        <v>133</v>
      </c>
      <c r="H562" t="s">
        <v>133</v>
      </c>
      <c r="I562" t="s">
        <v>133</v>
      </c>
      <c r="M562" t="s">
        <v>282</v>
      </c>
      <c r="O562" t="s">
        <v>161</v>
      </c>
      <c r="R562" t="s">
        <v>1219</v>
      </c>
      <c r="S562" t="s">
        <v>1220</v>
      </c>
      <c r="T562" t="s">
        <v>487</v>
      </c>
    </row>
    <row r="563" spans="1:20" x14ac:dyDescent="0.2">
      <c r="A563" t="s">
        <v>1632</v>
      </c>
      <c r="B563" t="s">
        <v>1633</v>
      </c>
      <c r="C563" t="s">
        <v>1634</v>
      </c>
      <c r="D563" t="s">
        <v>35</v>
      </c>
      <c r="E563" t="s">
        <v>133</v>
      </c>
      <c r="F563" t="s">
        <v>133</v>
      </c>
      <c r="G563" t="s">
        <v>133</v>
      </c>
      <c r="H563" t="s">
        <v>133</v>
      </c>
      <c r="I563" t="s">
        <v>133</v>
      </c>
      <c r="M563" t="s">
        <v>282</v>
      </c>
      <c r="O563" t="s">
        <v>161</v>
      </c>
      <c r="R563" t="s">
        <v>1219</v>
      </c>
      <c r="S563" t="s">
        <v>1220</v>
      </c>
      <c r="T563" t="s">
        <v>487</v>
      </c>
    </row>
    <row r="564" spans="1:20" x14ac:dyDescent="0.2">
      <c r="A564" t="s">
        <v>1635</v>
      </c>
      <c r="B564" t="s">
        <v>1636</v>
      </c>
      <c r="C564" t="s">
        <v>1637</v>
      </c>
      <c r="D564" t="s">
        <v>35</v>
      </c>
      <c r="E564" t="s">
        <v>133</v>
      </c>
      <c r="F564" t="s">
        <v>133</v>
      </c>
      <c r="G564" t="s">
        <v>133</v>
      </c>
      <c r="H564" t="s">
        <v>133</v>
      </c>
      <c r="I564" t="s">
        <v>133</v>
      </c>
      <c r="M564" t="s">
        <v>282</v>
      </c>
      <c r="O564" t="s">
        <v>161</v>
      </c>
      <c r="R564" t="s">
        <v>1219</v>
      </c>
      <c r="S564" t="s">
        <v>1220</v>
      </c>
      <c r="T564" t="s">
        <v>487</v>
      </c>
    </row>
    <row r="565" spans="1:20" x14ac:dyDescent="0.2">
      <c r="A565" t="s">
        <v>1638</v>
      </c>
      <c r="B565" t="s">
        <v>1639</v>
      </c>
      <c r="C565" t="s">
        <v>1640</v>
      </c>
      <c r="D565" t="s">
        <v>35</v>
      </c>
      <c r="E565" t="s">
        <v>133</v>
      </c>
      <c r="F565" t="s">
        <v>133</v>
      </c>
      <c r="G565" t="s">
        <v>133</v>
      </c>
      <c r="H565" t="s">
        <v>133</v>
      </c>
      <c r="I565" t="s">
        <v>133</v>
      </c>
      <c r="M565" t="s">
        <v>282</v>
      </c>
      <c r="O565" t="s">
        <v>161</v>
      </c>
      <c r="R565" t="s">
        <v>1219</v>
      </c>
      <c r="S565" t="s">
        <v>1220</v>
      </c>
      <c r="T565" t="s">
        <v>487</v>
      </c>
    </row>
    <row r="566" spans="1:20" x14ac:dyDescent="0.2">
      <c r="A566" t="s">
        <v>1641</v>
      </c>
      <c r="B566" t="s">
        <v>1642</v>
      </c>
      <c r="C566" t="s">
        <v>1643</v>
      </c>
      <c r="D566" t="s">
        <v>35</v>
      </c>
      <c r="E566" t="s">
        <v>133</v>
      </c>
      <c r="F566" t="s">
        <v>133</v>
      </c>
      <c r="G566" t="s">
        <v>133</v>
      </c>
      <c r="H566" t="s">
        <v>133</v>
      </c>
      <c r="I566" t="s">
        <v>133</v>
      </c>
      <c r="M566" t="s">
        <v>282</v>
      </c>
      <c r="O566" t="s">
        <v>161</v>
      </c>
      <c r="R566" t="s">
        <v>1219</v>
      </c>
      <c r="S566" t="s">
        <v>1220</v>
      </c>
      <c r="T566" t="s">
        <v>487</v>
      </c>
    </row>
    <row r="567" spans="1:20" x14ac:dyDescent="0.2">
      <c r="A567" t="s">
        <v>1644</v>
      </c>
      <c r="B567" t="s">
        <v>1645</v>
      </c>
      <c r="C567" t="s">
        <v>1646</v>
      </c>
      <c r="D567" t="s">
        <v>35</v>
      </c>
      <c r="E567" t="s">
        <v>133</v>
      </c>
      <c r="F567" t="s">
        <v>133</v>
      </c>
      <c r="G567" t="s">
        <v>133</v>
      </c>
      <c r="H567" t="s">
        <v>133</v>
      </c>
      <c r="I567" t="s">
        <v>133</v>
      </c>
      <c r="M567" t="s">
        <v>282</v>
      </c>
      <c r="O567" t="s">
        <v>161</v>
      </c>
      <c r="R567" t="s">
        <v>1219</v>
      </c>
      <c r="S567" t="s">
        <v>1220</v>
      </c>
      <c r="T567" t="s">
        <v>487</v>
      </c>
    </row>
    <row r="568" spans="1:20" x14ac:dyDescent="0.2">
      <c r="A568" t="s">
        <v>1647</v>
      </c>
      <c r="B568" t="s">
        <v>1648</v>
      </c>
      <c r="C568" t="s">
        <v>1649</v>
      </c>
      <c r="D568" t="s">
        <v>35</v>
      </c>
      <c r="E568" t="s">
        <v>133</v>
      </c>
      <c r="F568" t="s">
        <v>133</v>
      </c>
      <c r="G568" t="s">
        <v>133</v>
      </c>
      <c r="H568" t="s">
        <v>133</v>
      </c>
      <c r="I568" t="s">
        <v>133</v>
      </c>
      <c r="M568" t="s">
        <v>282</v>
      </c>
      <c r="O568" t="s">
        <v>161</v>
      </c>
      <c r="R568" t="s">
        <v>1219</v>
      </c>
      <c r="S568" t="s">
        <v>1220</v>
      </c>
      <c r="T568" t="s">
        <v>487</v>
      </c>
    </row>
    <row r="569" spans="1:20" x14ac:dyDescent="0.2">
      <c r="A569" t="s">
        <v>1650</v>
      </c>
      <c r="B569" t="s">
        <v>1651</v>
      </c>
      <c r="C569" t="s">
        <v>482</v>
      </c>
      <c r="D569" t="s">
        <v>35</v>
      </c>
      <c r="E569" t="s">
        <v>133</v>
      </c>
      <c r="F569" t="s">
        <v>133</v>
      </c>
      <c r="G569" t="s">
        <v>133</v>
      </c>
      <c r="H569" t="s">
        <v>133</v>
      </c>
      <c r="I569" t="s">
        <v>133</v>
      </c>
      <c r="M569" t="s">
        <v>282</v>
      </c>
      <c r="O569" t="s">
        <v>161</v>
      </c>
      <c r="R569" t="s">
        <v>1219</v>
      </c>
      <c r="S569" t="s">
        <v>1220</v>
      </c>
      <c r="T569" t="s">
        <v>487</v>
      </c>
    </row>
    <row r="570" spans="1:20" x14ac:dyDescent="0.2">
      <c r="A570" t="s">
        <v>1652</v>
      </c>
      <c r="B570" t="s">
        <v>1653</v>
      </c>
      <c r="C570" t="s">
        <v>386</v>
      </c>
      <c r="D570" t="s">
        <v>24</v>
      </c>
      <c r="E570" t="s">
        <v>133</v>
      </c>
      <c r="F570" t="s">
        <v>133</v>
      </c>
      <c r="G570" t="s">
        <v>133</v>
      </c>
      <c r="H570" t="s">
        <v>133</v>
      </c>
      <c r="I570" t="s">
        <v>133</v>
      </c>
      <c r="M570" t="s">
        <v>291</v>
      </c>
      <c r="O570" t="s">
        <v>161</v>
      </c>
      <c r="T570" t="s">
        <v>487</v>
      </c>
    </row>
    <row r="571" spans="1:20" x14ac:dyDescent="0.2">
      <c r="A571" t="s">
        <v>1654</v>
      </c>
      <c r="B571" t="s">
        <v>1655</v>
      </c>
      <c r="C571" t="s">
        <v>1656</v>
      </c>
      <c r="D571" t="s">
        <v>61</v>
      </c>
      <c r="E571" t="s">
        <v>133</v>
      </c>
      <c r="K571" t="s">
        <v>1657</v>
      </c>
      <c r="M571" t="s">
        <v>136</v>
      </c>
      <c r="S571" t="s">
        <v>1658</v>
      </c>
    </row>
    <row r="572" spans="1:20" x14ac:dyDescent="0.2">
      <c r="A572" t="s">
        <v>1659</v>
      </c>
      <c r="B572" t="s">
        <v>1660</v>
      </c>
      <c r="C572" t="s">
        <v>410</v>
      </c>
      <c r="D572" t="s">
        <v>24</v>
      </c>
      <c r="E572" t="s">
        <v>133</v>
      </c>
      <c r="F572" t="s">
        <v>133</v>
      </c>
      <c r="G572" t="s">
        <v>133</v>
      </c>
      <c r="H572" t="s">
        <v>133</v>
      </c>
      <c r="I572" t="s">
        <v>133</v>
      </c>
      <c r="M572" t="s">
        <v>291</v>
      </c>
      <c r="O572" t="s">
        <v>161</v>
      </c>
      <c r="T572" t="s">
        <v>487</v>
      </c>
    </row>
    <row r="573" spans="1:20" x14ac:dyDescent="0.2">
      <c r="A573" t="s">
        <v>1661</v>
      </c>
      <c r="B573" t="s">
        <v>1662</v>
      </c>
      <c r="C573" t="s">
        <v>414</v>
      </c>
      <c r="D573" t="s">
        <v>24</v>
      </c>
      <c r="E573" t="s">
        <v>133</v>
      </c>
      <c r="F573" t="s">
        <v>133</v>
      </c>
      <c r="G573" t="s">
        <v>133</v>
      </c>
      <c r="H573" t="s">
        <v>133</v>
      </c>
      <c r="I573" t="s">
        <v>133</v>
      </c>
      <c r="M573" t="s">
        <v>291</v>
      </c>
      <c r="O573" t="s">
        <v>161</v>
      </c>
      <c r="T573" t="s">
        <v>1663</v>
      </c>
    </row>
    <row r="574" spans="1:20" x14ac:dyDescent="0.2">
      <c r="A574" t="s">
        <v>1664</v>
      </c>
      <c r="B574" t="s">
        <v>1665</v>
      </c>
      <c r="C574" t="s">
        <v>430</v>
      </c>
      <c r="D574" t="s">
        <v>35</v>
      </c>
      <c r="E574" t="s">
        <v>133</v>
      </c>
      <c r="F574" t="s">
        <v>133</v>
      </c>
      <c r="G574" t="s">
        <v>133</v>
      </c>
      <c r="H574" t="s">
        <v>133</v>
      </c>
      <c r="I574" t="s">
        <v>133</v>
      </c>
      <c r="M574" t="s">
        <v>291</v>
      </c>
      <c r="O574" t="s">
        <v>161</v>
      </c>
      <c r="T574" t="s">
        <v>1666</v>
      </c>
    </row>
    <row r="575" spans="1:20" x14ac:dyDescent="0.2">
      <c r="A575" t="s">
        <v>1667</v>
      </c>
      <c r="B575" t="s">
        <v>1668</v>
      </c>
      <c r="C575" t="s">
        <v>450</v>
      </c>
      <c r="D575" t="s">
        <v>35</v>
      </c>
      <c r="E575" t="s">
        <v>133</v>
      </c>
      <c r="F575" t="s">
        <v>133</v>
      </c>
      <c r="G575" t="s">
        <v>133</v>
      </c>
      <c r="H575" t="s">
        <v>133</v>
      </c>
      <c r="I575" t="s">
        <v>133</v>
      </c>
      <c r="M575" t="s">
        <v>291</v>
      </c>
      <c r="O575" t="s">
        <v>161</v>
      </c>
      <c r="T575" t="s">
        <v>1669</v>
      </c>
    </row>
    <row r="576" spans="1:20" x14ac:dyDescent="0.2">
      <c r="A576" t="s">
        <v>1670</v>
      </c>
      <c r="B576" t="s">
        <v>1671</v>
      </c>
      <c r="C576" t="s">
        <v>1672</v>
      </c>
      <c r="D576" t="s">
        <v>35</v>
      </c>
      <c r="E576" t="s">
        <v>133</v>
      </c>
      <c r="F576" t="s">
        <v>133</v>
      </c>
      <c r="G576" t="s">
        <v>133</v>
      </c>
      <c r="H576" t="s">
        <v>1673</v>
      </c>
      <c r="I576" t="s">
        <v>133</v>
      </c>
      <c r="M576" t="s">
        <v>137</v>
      </c>
      <c r="O576" t="s">
        <v>161</v>
      </c>
      <c r="R576" t="s">
        <v>1674</v>
      </c>
      <c r="S576" t="s">
        <v>1675</v>
      </c>
      <c r="T576" t="s">
        <v>487</v>
      </c>
    </row>
    <row r="577" spans="1:20" x14ac:dyDescent="0.2">
      <c r="A577" t="s">
        <v>1670</v>
      </c>
      <c r="B577" t="s">
        <v>1671</v>
      </c>
      <c r="C577" t="s">
        <v>1672</v>
      </c>
      <c r="D577" t="s">
        <v>35</v>
      </c>
      <c r="E577" t="s">
        <v>133</v>
      </c>
      <c r="F577" t="s">
        <v>133</v>
      </c>
      <c r="G577" t="s">
        <v>133</v>
      </c>
      <c r="H577" t="s">
        <v>1676</v>
      </c>
      <c r="I577" t="s">
        <v>133</v>
      </c>
      <c r="M577" t="s">
        <v>137</v>
      </c>
      <c r="O577" t="s">
        <v>161</v>
      </c>
      <c r="R577" t="s">
        <v>1677</v>
      </c>
      <c r="S577" t="s">
        <v>1678</v>
      </c>
      <c r="T577" t="s">
        <v>487</v>
      </c>
    </row>
    <row r="578" spans="1:20" x14ac:dyDescent="0.2">
      <c r="A578" t="s">
        <v>1670</v>
      </c>
      <c r="B578" t="s">
        <v>1671</v>
      </c>
      <c r="C578" t="s">
        <v>1672</v>
      </c>
      <c r="D578" t="s">
        <v>35</v>
      </c>
      <c r="E578" t="s">
        <v>133</v>
      </c>
      <c r="F578" t="s">
        <v>133</v>
      </c>
      <c r="G578" t="s">
        <v>133</v>
      </c>
      <c r="H578" t="s">
        <v>1679</v>
      </c>
      <c r="I578" t="s">
        <v>133</v>
      </c>
      <c r="M578" t="s">
        <v>137</v>
      </c>
      <c r="O578" t="s">
        <v>161</v>
      </c>
      <c r="R578" t="s">
        <v>1680</v>
      </c>
      <c r="S578" t="s">
        <v>1658</v>
      </c>
      <c r="T578" t="s">
        <v>487</v>
      </c>
    </row>
    <row r="579" spans="1:20" x14ac:dyDescent="0.2">
      <c r="A579" t="s">
        <v>1670</v>
      </c>
      <c r="B579" t="s">
        <v>1671</v>
      </c>
      <c r="C579" t="s">
        <v>1672</v>
      </c>
      <c r="D579" t="s">
        <v>35</v>
      </c>
      <c r="E579" t="s">
        <v>133</v>
      </c>
      <c r="F579" t="s">
        <v>133</v>
      </c>
      <c r="G579" t="s">
        <v>133</v>
      </c>
      <c r="H579" t="s">
        <v>1681</v>
      </c>
      <c r="I579" t="s">
        <v>133</v>
      </c>
      <c r="M579" t="s">
        <v>137</v>
      </c>
      <c r="O579" t="s">
        <v>161</v>
      </c>
      <c r="R579" t="s">
        <v>1682</v>
      </c>
      <c r="S579" t="s">
        <v>1683</v>
      </c>
      <c r="T579" t="s">
        <v>487</v>
      </c>
    </row>
    <row r="580" spans="1:20" x14ac:dyDescent="0.2">
      <c r="A580" t="s">
        <v>1670</v>
      </c>
      <c r="B580" t="s">
        <v>1671</v>
      </c>
      <c r="C580" t="s">
        <v>1672</v>
      </c>
      <c r="D580" t="s">
        <v>35</v>
      </c>
      <c r="E580" t="s">
        <v>133</v>
      </c>
      <c r="F580" t="s">
        <v>133</v>
      </c>
      <c r="G580" t="s">
        <v>133</v>
      </c>
      <c r="H580" t="s">
        <v>1684</v>
      </c>
      <c r="I580" t="s">
        <v>133</v>
      </c>
      <c r="M580" t="s">
        <v>137</v>
      </c>
      <c r="O580" t="s">
        <v>161</v>
      </c>
      <c r="R580" t="s">
        <v>1685</v>
      </c>
      <c r="S580" t="s">
        <v>1686</v>
      </c>
      <c r="T580" t="s">
        <v>487</v>
      </c>
    </row>
    <row r="581" spans="1:20" x14ac:dyDescent="0.2">
      <c r="A581" t="s">
        <v>1670</v>
      </c>
      <c r="B581" t="s">
        <v>1671</v>
      </c>
      <c r="C581" t="s">
        <v>1672</v>
      </c>
      <c r="D581" t="s">
        <v>35</v>
      </c>
      <c r="E581" t="s">
        <v>133</v>
      </c>
      <c r="F581" t="s">
        <v>133</v>
      </c>
      <c r="G581" t="s">
        <v>133</v>
      </c>
      <c r="H581" t="s">
        <v>1687</v>
      </c>
      <c r="I581" t="s">
        <v>133</v>
      </c>
      <c r="M581" t="s">
        <v>137</v>
      </c>
      <c r="O581" t="s">
        <v>161</v>
      </c>
      <c r="R581" t="s">
        <v>1219</v>
      </c>
      <c r="S581" t="s">
        <v>1220</v>
      </c>
      <c r="T581" t="s">
        <v>487</v>
      </c>
    </row>
    <row r="582" spans="1:20" x14ac:dyDescent="0.2">
      <c r="A582" t="s">
        <v>1670</v>
      </c>
      <c r="B582" t="s">
        <v>1671</v>
      </c>
      <c r="C582" t="s">
        <v>1672</v>
      </c>
      <c r="D582" t="s">
        <v>35</v>
      </c>
      <c r="E582" t="s">
        <v>133</v>
      </c>
      <c r="F582" t="s">
        <v>133</v>
      </c>
      <c r="G582" t="s">
        <v>1003</v>
      </c>
      <c r="H582" t="s">
        <v>133</v>
      </c>
      <c r="I582" t="s">
        <v>133</v>
      </c>
      <c r="M582" t="s">
        <v>137</v>
      </c>
      <c r="O582" t="s">
        <v>161</v>
      </c>
      <c r="R582" t="s">
        <v>1004</v>
      </c>
      <c r="S582" t="s">
        <v>1005</v>
      </c>
      <c r="T582" t="s">
        <v>487</v>
      </c>
    </row>
    <row r="583" spans="1:20" x14ac:dyDescent="0.2">
      <c r="A583" t="s">
        <v>1670</v>
      </c>
      <c r="B583" t="s">
        <v>1671</v>
      </c>
      <c r="C583" t="s">
        <v>1672</v>
      </c>
      <c r="D583" t="s">
        <v>35</v>
      </c>
      <c r="E583" t="s">
        <v>133</v>
      </c>
      <c r="F583" t="s">
        <v>133</v>
      </c>
      <c r="G583" t="s">
        <v>1003</v>
      </c>
      <c r="H583" t="s">
        <v>1673</v>
      </c>
      <c r="I583" t="s">
        <v>133</v>
      </c>
      <c r="M583" t="s">
        <v>137</v>
      </c>
      <c r="O583" t="s">
        <v>161</v>
      </c>
      <c r="R583" t="s">
        <v>1004</v>
      </c>
      <c r="S583" t="s">
        <v>1005</v>
      </c>
      <c r="T583" t="s">
        <v>487</v>
      </c>
    </row>
    <row r="584" spans="1:20" x14ac:dyDescent="0.2">
      <c r="A584" t="s">
        <v>1670</v>
      </c>
      <c r="B584" t="s">
        <v>1671</v>
      </c>
      <c r="C584" t="s">
        <v>1672</v>
      </c>
      <c r="D584" t="s">
        <v>35</v>
      </c>
      <c r="E584" t="s">
        <v>133</v>
      </c>
      <c r="F584" t="s">
        <v>133</v>
      </c>
      <c r="G584" t="s">
        <v>1003</v>
      </c>
      <c r="H584" t="s">
        <v>1676</v>
      </c>
      <c r="I584" t="s">
        <v>133</v>
      </c>
      <c r="M584" t="s">
        <v>137</v>
      </c>
      <c r="O584" t="s">
        <v>161</v>
      </c>
      <c r="R584" t="s">
        <v>1004</v>
      </c>
      <c r="S584" t="s">
        <v>1005</v>
      </c>
      <c r="T584" t="s">
        <v>487</v>
      </c>
    </row>
    <row r="585" spans="1:20" x14ac:dyDescent="0.2">
      <c r="A585" t="s">
        <v>1670</v>
      </c>
      <c r="B585" t="s">
        <v>1671</v>
      </c>
      <c r="C585" t="s">
        <v>1672</v>
      </c>
      <c r="D585" t="s">
        <v>35</v>
      </c>
      <c r="E585" t="s">
        <v>133</v>
      </c>
      <c r="F585" t="s">
        <v>133</v>
      </c>
      <c r="G585" t="s">
        <v>1003</v>
      </c>
      <c r="H585" t="s">
        <v>1679</v>
      </c>
      <c r="I585" t="s">
        <v>133</v>
      </c>
      <c r="M585" t="s">
        <v>137</v>
      </c>
      <c r="O585" t="s">
        <v>161</v>
      </c>
      <c r="R585" t="s">
        <v>1004</v>
      </c>
      <c r="S585" t="s">
        <v>1005</v>
      </c>
      <c r="T585" t="s">
        <v>487</v>
      </c>
    </row>
    <row r="586" spans="1:20" x14ac:dyDescent="0.2">
      <c r="A586" t="s">
        <v>1670</v>
      </c>
      <c r="B586" t="s">
        <v>1671</v>
      </c>
      <c r="C586" t="s">
        <v>1672</v>
      </c>
      <c r="D586" t="s">
        <v>35</v>
      </c>
      <c r="E586" t="s">
        <v>133</v>
      </c>
      <c r="F586" t="s">
        <v>133</v>
      </c>
      <c r="G586" t="s">
        <v>1003</v>
      </c>
      <c r="H586" t="s">
        <v>1681</v>
      </c>
      <c r="I586" t="s">
        <v>133</v>
      </c>
      <c r="M586" t="s">
        <v>137</v>
      </c>
      <c r="O586" t="s">
        <v>161</v>
      </c>
      <c r="R586" t="s">
        <v>1004</v>
      </c>
      <c r="S586" t="s">
        <v>1005</v>
      </c>
      <c r="T586" t="s">
        <v>487</v>
      </c>
    </row>
    <row r="587" spans="1:20" x14ac:dyDescent="0.2">
      <c r="A587" t="s">
        <v>1670</v>
      </c>
      <c r="B587" t="s">
        <v>1671</v>
      </c>
      <c r="C587" t="s">
        <v>1672</v>
      </c>
      <c r="D587" t="s">
        <v>35</v>
      </c>
      <c r="E587" t="s">
        <v>133</v>
      </c>
      <c r="F587" t="s">
        <v>133</v>
      </c>
      <c r="G587" t="s">
        <v>1003</v>
      </c>
      <c r="H587" t="s">
        <v>1684</v>
      </c>
      <c r="I587" t="s">
        <v>133</v>
      </c>
      <c r="M587" t="s">
        <v>137</v>
      </c>
      <c r="O587" t="s">
        <v>161</v>
      </c>
      <c r="R587" t="s">
        <v>1004</v>
      </c>
      <c r="S587" t="s">
        <v>1005</v>
      </c>
      <c r="T587" t="s">
        <v>487</v>
      </c>
    </row>
    <row r="588" spans="1:20" x14ac:dyDescent="0.2">
      <c r="A588" t="s">
        <v>1670</v>
      </c>
      <c r="B588" t="s">
        <v>1671</v>
      </c>
      <c r="C588" t="s">
        <v>1672</v>
      </c>
      <c r="D588" t="s">
        <v>35</v>
      </c>
      <c r="E588" t="s">
        <v>133</v>
      </c>
      <c r="F588" t="s">
        <v>133</v>
      </c>
      <c r="G588" t="s">
        <v>1003</v>
      </c>
      <c r="H588" t="s">
        <v>1687</v>
      </c>
      <c r="I588" t="s">
        <v>133</v>
      </c>
      <c r="M588" t="s">
        <v>137</v>
      </c>
      <c r="O588" t="s">
        <v>161</v>
      </c>
      <c r="R588" t="s">
        <v>1004</v>
      </c>
      <c r="S588" t="s">
        <v>1005</v>
      </c>
      <c r="T588" t="s">
        <v>487</v>
      </c>
    </row>
    <row r="589" spans="1:20" x14ac:dyDescent="0.2">
      <c r="A589" t="s">
        <v>1670</v>
      </c>
      <c r="B589" t="s">
        <v>1671</v>
      </c>
      <c r="C589" t="s">
        <v>1672</v>
      </c>
      <c r="D589" t="s">
        <v>35</v>
      </c>
      <c r="E589" t="s">
        <v>133</v>
      </c>
      <c r="F589" t="s">
        <v>133</v>
      </c>
      <c r="G589" t="s">
        <v>1688</v>
      </c>
      <c r="H589" t="s">
        <v>133</v>
      </c>
      <c r="I589" t="s">
        <v>133</v>
      </c>
      <c r="M589" t="s">
        <v>137</v>
      </c>
      <c r="O589" t="s">
        <v>161</v>
      </c>
      <c r="R589" t="s">
        <v>1689</v>
      </c>
      <c r="S589" t="s">
        <v>1690</v>
      </c>
      <c r="T589" t="s">
        <v>487</v>
      </c>
    </row>
    <row r="590" spans="1:20" x14ac:dyDescent="0.2">
      <c r="A590" t="s">
        <v>1670</v>
      </c>
      <c r="B590" t="s">
        <v>1671</v>
      </c>
      <c r="C590" t="s">
        <v>1672</v>
      </c>
      <c r="D590" t="s">
        <v>35</v>
      </c>
      <c r="E590" t="s">
        <v>133</v>
      </c>
      <c r="F590" t="s">
        <v>133</v>
      </c>
      <c r="G590" t="s">
        <v>1688</v>
      </c>
      <c r="H590" t="s">
        <v>1673</v>
      </c>
      <c r="I590" t="s">
        <v>133</v>
      </c>
      <c r="M590" t="s">
        <v>137</v>
      </c>
      <c r="O590" t="s">
        <v>161</v>
      </c>
      <c r="R590" t="s">
        <v>1689</v>
      </c>
      <c r="S590" t="s">
        <v>1690</v>
      </c>
      <c r="T590" t="s">
        <v>487</v>
      </c>
    </row>
    <row r="591" spans="1:20" x14ac:dyDescent="0.2">
      <c r="A591" t="s">
        <v>1670</v>
      </c>
      <c r="B591" t="s">
        <v>1671</v>
      </c>
      <c r="C591" t="s">
        <v>1672</v>
      </c>
      <c r="D591" t="s">
        <v>35</v>
      </c>
      <c r="E591" t="s">
        <v>133</v>
      </c>
      <c r="F591" t="s">
        <v>133</v>
      </c>
      <c r="G591" t="s">
        <v>1688</v>
      </c>
      <c r="H591" t="s">
        <v>1676</v>
      </c>
      <c r="I591" t="s">
        <v>133</v>
      </c>
      <c r="M591" t="s">
        <v>137</v>
      </c>
      <c r="O591" t="s">
        <v>161</v>
      </c>
      <c r="R591" t="s">
        <v>1689</v>
      </c>
      <c r="S591" t="s">
        <v>1690</v>
      </c>
      <c r="T591" t="s">
        <v>487</v>
      </c>
    </row>
    <row r="592" spans="1:20" x14ac:dyDescent="0.2">
      <c r="A592" t="s">
        <v>1670</v>
      </c>
      <c r="B592" t="s">
        <v>1671</v>
      </c>
      <c r="C592" t="s">
        <v>1672</v>
      </c>
      <c r="D592" t="s">
        <v>35</v>
      </c>
      <c r="E592" t="s">
        <v>133</v>
      </c>
      <c r="F592" t="s">
        <v>133</v>
      </c>
      <c r="G592" t="s">
        <v>1688</v>
      </c>
      <c r="H592" t="s">
        <v>1679</v>
      </c>
      <c r="I592" t="s">
        <v>133</v>
      </c>
      <c r="M592" t="s">
        <v>137</v>
      </c>
      <c r="O592" t="s">
        <v>161</v>
      </c>
      <c r="R592" t="s">
        <v>1689</v>
      </c>
      <c r="S592" t="s">
        <v>1690</v>
      </c>
      <c r="T592" t="s">
        <v>487</v>
      </c>
    </row>
    <row r="593" spans="1:20" x14ac:dyDescent="0.2">
      <c r="A593" t="s">
        <v>1670</v>
      </c>
      <c r="B593" t="s">
        <v>1671</v>
      </c>
      <c r="C593" t="s">
        <v>1672</v>
      </c>
      <c r="D593" t="s">
        <v>35</v>
      </c>
      <c r="E593" t="s">
        <v>133</v>
      </c>
      <c r="F593" t="s">
        <v>133</v>
      </c>
      <c r="G593" t="s">
        <v>1688</v>
      </c>
      <c r="H593" t="s">
        <v>1681</v>
      </c>
      <c r="I593" t="s">
        <v>133</v>
      </c>
      <c r="M593" t="s">
        <v>137</v>
      </c>
      <c r="O593" t="s">
        <v>161</v>
      </c>
      <c r="R593" t="s">
        <v>1689</v>
      </c>
      <c r="S593" t="s">
        <v>1690</v>
      </c>
      <c r="T593" t="s">
        <v>487</v>
      </c>
    </row>
    <row r="594" spans="1:20" x14ac:dyDescent="0.2">
      <c r="A594" t="s">
        <v>1670</v>
      </c>
      <c r="B594" t="s">
        <v>1671</v>
      </c>
      <c r="C594" t="s">
        <v>1672</v>
      </c>
      <c r="D594" t="s">
        <v>35</v>
      </c>
      <c r="E594" t="s">
        <v>133</v>
      </c>
      <c r="F594" t="s">
        <v>133</v>
      </c>
      <c r="G594" t="s">
        <v>1688</v>
      </c>
      <c r="H594" t="s">
        <v>1684</v>
      </c>
      <c r="I594" t="s">
        <v>133</v>
      </c>
      <c r="M594" t="s">
        <v>137</v>
      </c>
      <c r="O594" t="s">
        <v>161</v>
      </c>
      <c r="R594" t="s">
        <v>1689</v>
      </c>
      <c r="S594" t="s">
        <v>1690</v>
      </c>
      <c r="T594" t="s">
        <v>487</v>
      </c>
    </row>
    <row r="595" spans="1:20" x14ac:dyDescent="0.2">
      <c r="A595" t="s">
        <v>1670</v>
      </c>
      <c r="B595" t="s">
        <v>1671</v>
      </c>
      <c r="C595" t="s">
        <v>1672</v>
      </c>
      <c r="D595" t="s">
        <v>35</v>
      </c>
      <c r="E595" t="s">
        <v>133</v>
      </c>
      <c r="F595" t="s">
        <v>133</v>
      </c>
      <c r="G595" t="s">
        <v>1688</v>
      </c>
      <c r="H595" t="s">
        <v>1687</v>
      </c>
      <c r="I595" t="s">
        <v>133</v>
      </c>
      <c r="M595" t="s">
        <v>137</v>
      </c>
      <c r="O595" t="s">
        <v>161</v>
      </c>
      <c r="R595" t="s">
        <v>1689</v>
      </c>
      <c r="S595" t="s">
        <v>1690</v>
      </c>
      <c r="T595" t="s">
        <v>487</v>
      </c>
    </row>
    <row r="596" spans="1:20" x14ac:dyDescent="0.2">
      <c r="A596" t="s">
        <v>1670</v>
      </c>
      <c r="B596" t="s">
        <v>1671</v>
      </c>
      <c r="C596" t="s">
        <v>1672</v>
      </c>
      <c r="D596" t="s">
        <v>35</v>
      </c>
      <c r="E596" t="s">
        <v>133</v>
      </c>
      <c r="F596" t="s">
        <v>133</v>
      </c>
      <c r="G596" t="s">
        <v>1691</v>
      </c>
      <c r="H596" t="s">
        <v>133</v>
      </c>
      <c r="I596" t="s">
        <v>133</v>
      </c>
      <c r="M596" t="s">
        <v>137</v>
      </c>
      <c r="O596" t="s">
        <v>161</v>
      </c>
      <c r="R596" t="s">
        <v>1692</v>
      </c>
      <c r="S596" t="s">
        <v>1693</v>
      </c>
      <c r="T596" t="s">
        <v>487</v>
      </c>
    </row>
    <row r="597" spans="1:20" x14ac:dyDescent="0.2">
      <c r="A597" t="s">
        <v>1670</v>
      </c>
      <c r="B597" t="s">
        <v>1671</v>
      </c>
      <c r="C597" t="s">
        <v>1672</v>
      </c>
      <c r="D597" t="s">
        <v>35</v>
      </c>
      <c r="E597" t="s">
        <v>133</v>
      </c>
      <c r="F597" t="s">
        <v>133</v>
      </c>
      <c r="G597" t="s">
        <v>1691</v>
      </c>
      <c r="H597" t="s">
        <v>1673</v>
      </c>
      <c r="I597" t="s">
        <v>133</v>
      </c>
      <c r="M597" t="s">
        <v>137</v>
      </c>
      <c r="O597" t="s">
        <v>161</v>
      </c>
      <c r="R597" t="s">
        <v>1692</v>
      </c>
      <c r="S597" t="s">
        <v>1693</v>
      </c>
      <c r="T597" t="s">
        <v>487</v>
      </c>
    </row>
    <row r="598" spans="1:20" x14ac:dyDescent="0.2">
      <c r="A598" t="s">
        <v>1670</v>
      </c>
      <c r="B598" t="s">
        <v>1671</v>
      </c>
      <c r="C598" t="s">
        <v>1672</v>
      </c>
      <c r="D598" t="s">
        <v>35</v>
      </c>
      <c r="E598" t="s">
        <v>133</v>
      </c>
      <c r="F598" t="s">
        <v>133</v>
      </c>
      <c r="G598" t="s">
        <v>1691</v>
      </c>
      <c r="H598" t="s">
        <v>1676</v>
      </c>
      <c r="I598" t="s">
        <v>133</v>
      </c>
      <c r="M598" t="s">
        <v>137</v>
      </c>
      <c r="O598" t="s">
        <v>161</v>
      </c>
      <c r="R598" t="s">
        <v>1692</v>
      </c>
      <c r="S598" t="s">
        <v>1693</v>
      </c>
      <c r="T598" t="s">
        <v>487</v>
      </c>
    </row>
    <row r="599" spans="1:20" x14ac:dyDescent="0.2">
      <c r="A599" t="s">
        <v>1670</v>
      </c>
      <c r="B599" t="s">
        <v>1671</v>
      </c>
      <c r="C599" t="s">
        <v>1672</v>
      </c>
      <c r="D599" t="s">
        <v>35</v>
      </c>
      <c r="E599" t="s">
        <v>133</v>
      </c>
      <c r="F599" t="s">
        <v>133</v>
      </c>
      <c r="G599" t="s">
        <v>1691</v>
      </c>
      <c r="H599" t="s">
        <v>1679</v>
      </c>
      <c r="I599" t="s">
        <v>133</v>
      </c>
      <c r="M599" t="s">
        <v>137</v>
      </c>
      <c r="O599" t="s">
        <v>161</v>
      </c>
      <c r="R599" t="s">
        <v>1692</v>
      </c>
      <c r="S599" t="s">
        <v>1693</v>
      </c>
      <c r="T599" t="s">
        <v>487</v>
      </c>
    </row>
    <row r="600" spans="1:20" x14ac:dyDescent="0.2">
      <c r="A600" t="s">
        <v>1670</v>
      </c>
      <c r="B600" t="s">
        <v>1671</v>
      </c>
      <c r="C600" t="s">
        <v>1672</v>
      </c>
      <c r="D600" t="s">
        <v>35</v>
      </c>
      <c r="E600" t="s">
        <v>133</v>
      </c>
      <c r="F600" t="s">
        <v>133</v>
      </c>
      <c r="G600" t="s">
        <v>1691</v>
      </c>
      <c r="H600" t="s">
        <v>1681</v>
      </c>
      <c r="I600" t="s">
        <v>133</v>
      </c>
      <c r="M600" t="s">
        <v>137</v>
      </c>
      <c r="O600" t="s">
        <v>161</v>
      </c>
      <c r="R600" t="s">
        <v>1692</v>
      </c>
      <c r="S600" t="s">
        <v>1693</v>
      </c>
      <c r="T600" t="s">
        <v>487</v>
      </c>
    </row>
    <row r="601" spans="1:20" x14ac:dyDescent="0.2">
      <c r="A601" t="s">
        <v>1670</v>
      </c>
      <c r="B601" t="s">
        <v>1671</v>
      </c>
      <c r="C601" t="s">
        <v>1672</v>
      </c>
      <c r="D601" t="s">
        <v>35</v>
      </c>
      <c r="E601" t="s">
        <v>133</v>
      </c>
      <c r="F601" t="s">
        <v>133</v>
      </c>
      <c r="G601" t="s">
        <v>1691</v>
      </c>
      <c r="H601" t="s">
        <v>1684</v>
      </c>
      <c r="I601" t="s">
        <v>133</v>
      </c>
      <c r="M601" t="s">
        <v>137</v>
      </c>
      <c r="O601" t="s">
        <v>161</v>
      </c>
      <c r="R601" t="s">
        <v>1692</v>
      </c>
      <c r="S601" t="s">
        <v>1693</v>
      </c>
      <c r="T601" t="s">
        <v>487</v>
      </c>
    </row>
    <row r="602" spans="1:20" x14ac:dyDescent="0.2">
      <c r="A602" t="s">
        <v>1670</v>
      </c>
      <c r="B602" t="s">
        <v>1671</v>
      </c>
      <c r="C602" t="s">
        <v>1672</v>
      </c>
      <c r="D602" t="s">
        <v>35</v>
      </c>
      <c r="E602" t="s">
        <v>133</v>
      </c>
      <c r="F602" t="s">
        <v>133</v>
      </c>
      <c r="G602" t="s">
        <v>1691</v>
      </c>
      <c r="H602" t="s">
        <v>1687</v>
      </c>
      <c r="I602" t="s">
        <v>133</v>
      </c>
      <c r="M602" t="s">
        <v>137</v>
      </c>
      <c r="O602" t="s">
        <v>161</v>
      </c>
      <c r="R602" t="s">
        <v>1692</v>
      </c>
      <c r="S602" t="s">
        <v>1693</v>
      </c>
      <c r="T602" t="s">
        <v>487</v>
      </c>
    </row>
    <row r="603" spans="1:20" x14ac:dyDescent="0.2">
      <c r="A603" t="s">
        <v>1694</v>
      </c>
      <c r="B603" t="s">
        <v>1695</v>
      </c>
      <c r="C603" t="s">
        <v>1696</v>
      </c>
      <c r="D603" t="s">
        <v>35</v>
      </c>
      <c r="E603" t="s">
        <v>133</v>
      </c>
      <c r="F603" t="s">
        <v>133</v>
      </c>
      <c r="G603" t="s">
        <v>133</v>
      </c>
      <c r="H603" t="s">
        <v>1673</v>
      </c>
      <c r="I603" t="s">
        <v>133</v>
      </c>
      <c r="M603" t="s">
        <v>137</v>
      </c>
      <c r="O603" t="s">
        <v>161</v>
      </c>
      <c r="R603" t="s">
        <v>1674</v>
      </c>
      <c r="S603" t="s">
        <v>1675</v>
      </c>
      <c r="T603" t="s">
        <v>487</v>
      </c>
    </row>
    <row r="604" spans="1:20" x14ac:dyDescent="0.2">
      <c r="A604" t="s">
        <v>1694</v>
      </c>
      <c r="B604" t="s">
        <v>1695</v>
      </c>
      <c r="C604" t="s">
        <v>1696</v>
      </c>
      <c r="D604" t="s">
        <v>35</v>
      </c>
      <c r="E604" t="s">
        <v>133</v>
      </c>
      <c r="F604" t="s">
        <v>133</v>
      </c>
      <c r="G604" t="s">
        <v>133</v>
      </c>
      <c r="H604" t="s">
        <v>1676</v>
      </c>
      <c r="I604" t="s">
        <v>133</v>
      </c>
      <c r="M604" t="s">
        <v>137</v>
      </c>
      <c r="O604" t="s">
        <v>161</v>
      </c>
      <c r="R604" t="s">
        <v>1677</v>
      </c>
      <c r="S604" t="s">
        <v>1678</v>
      </c>
      <c r="T604" t="s">
        <v>487</v>
      </c>
    </row>
    <row r="605" spans="1:20" x14ac:dyDescent="0.2">
      <c r="A605" t="s">
        <v>1694</v>
      </c>
      <c r="B605" t="s">
        <v>1695</v>
      </c>
      <c r="C605" t="s">
        <v>1696</v>
      </c>
      <c r="D605" t="s">
        <v>35</v>
      </c>
      <c r="E605" t="s">
        <v>133</v>
      </c>
      <c r="F605" t="s">
        <v>133</v>
      </c>
      <c r="G605" t="s">
        <v>133</v>
      </c>
      <c r="H605" t="s">
        <v>1679</v>
      </c>
      <c r="I605" t="s">
        <v>133</v>
      </c>
      <c r="M605" t="s">
        <v>137</v>
      </c>
      <c r="O605" t="s">
        <v>161</v>
      </c>
      <c r="R605" t="s">
        <v>1680</v>
      </c>
      <c r="S605" t="s">
        <v>1658</v>
      </c>
      <c r="T605" t="s">
        <v>487</v>
      </c>
    </row>
    <row r="606" spans="1:20" x14ac:dyDescent="0.2">
      <c r="A606" t="s">
        <v>1694</v>
      </c>
      <c r="B606" t="s">
        <v>1695</v>
      </c>
      <c r="C606" t="s">
        <v>1696</v>
      </c>
      <c r="D606" t="s">
        <v>35</v>
      </c>
      <c r="E606" t="s">
        <v>133</v>
      </c>
      <c r="F606" t="s">
        <v>133</v>
      </c>
      <c r="G606" t="s">
        <v>133</v>
      </c>
      <c r="H606" t="s">
        <v>1681</v>
      </c>
      <c r="I606" t="s">
        <v>133</v>
      </c>
      <c r="M606" t="s">
        <v>137</v>
      </c>
      <c r="O606" t="s">
        <v>161</v>
      </c>
      <c r="R606" t="s">
        <v>1682</v>
      </c>
      <c r="S606" t="s">
        <v>1683</v>
      </c>
      <c r="T606" t="s">
        <v>487</v>
      </c>
    </row>
    <row r="607" spans="1:20" x14ac:dyDescent="0.2">
      <c r="A607" t="s">
        <v>1694</v>
      </c>
      <c r="B607" t="s">
        <v>1695</v>
      </c>
      <c r="C607" t="s">
        <v>1696</v>
      </c>
      <c r="D607" t="s">
        <v>35</v>
      </c>
      <c r="E607" t="s">
        <v>133</v>
      </c>
      <c r="F607" t="s">
        <v>133</v>
      </c>
      <c r="G607" t="s">
        <v>133</v>
      </c>
      <c r="H607" t="s">
        <v>1684</v>
      </c>
      <c r="I607" t="s">
        <v>133</v>
      </c>
      <c r="M607" t="s">
        <v>137</v>
      </c>
      <c r="O607" t="s">
        <v>161</v>
      </c>
      <c r="R607" t="s">
        <v>1685</v>
      </c>
      <c r="S607" t="s">
        <v>1686</v>
      </c>
      <c r="T607" t="s">
        <v>487</v>
      </c>
    </row>
    <row r="608" spans="1:20" x14ac:dyDescent="0.2">
      <c r="A608" t="s">
        <v>1694</v>
      </c>
      <c r="B608" t="s">
        <v>1695</v>
      </c>
      <c r="C608" t="s">
        <v>1696</v>
      </c>
      <c r="D608" t="s">
        <v>35</v>
      </c>
      <c r="E608" t="s">
        <v>133</v>
      </c>
      <c r="F608" t="s">
        <v>133</v>
      </c>
      <c r="G608" t="s">
        <v>133</v>
      </c>
      <c r="H608" t="s">
        <v>1687</v>
      </c>
      <c r="I608" t="s">
        <v>133</v>
      </c>
      <c r="M608" t="s">
        <v>137</v>
      </c>
      <c r="O608" t="s">
        <v>161</v>
      </c>
      <c r="R608" t="s">
        <v>1219</v>
      </c>
      <c r="S608" t="s">
        <v>1220</v>
      </c>
      <c r="T608" t="s">
        <v>487</v>
      </c>
    </row>
    <row r="609" spans="1:20" x14ac:dyDescent="0.2">
      <c r="A609" t="s">
        <v>1694</v>
      </c>
      <c r="B609" t="s">
        <v>1695</v>
      </c>
      <c r="C609" t="s">
        <v>1696</v>
      </c>
      <c r="D609" t="s">
        <v>35</v>
      </c>
      <c r="E609" t="s">
        <v>133</v>
      </c>
      <c r="F609" t="s">
        <v>133</v>
      </c>
      <c r="G609" t="s">
        <v>1003</v>
      </c>
      <c r="H609" t="s">
        <v>133</v>
      </c>
      <c r="I609" t="s">
        <v>133</v>
      </c>
      <c r="M609" t="s">
        <v>137</v>
      </c>
      <c r="O609" t="s">
        <v>161</v>
      </c>
      <c r="R609" t="s">
        <v>1004</v>
      </c>
      <c r="S609" t="s">
        <v>1005</v>
      </c>
      <c r="T609" t="s">
        <v>487</v>
      </c>
    </row>
    <row r="610" spans="1:20" x14ac:dyDescent="0.2">
      <c r="A610" t="s">
        <v>1694</v>
      </c>
      <c r="B610" t="s">
        <v>1695</v>
      </c>
      <c r="C610" t="s">
        <v>1696</v>
      </c>
      <c r="D610" t="s">
        <v>35</v>
      </c>
      <c r="E610" t="s">
        <v>133</v>
      </c>
      <c r="F610" t="s">
        <v>133</v>
      </c>
      <c r="G610" t="s">
        <v>1003</v>
      </c>
      <c r="H610" t="s">
        <v>1673</v>
      </c>
      <c r="I610" t="s">
        <v>133</v>
      </c>
      <c r="M610" t="s">
        <v>137</v>
      </c>
      <c r="O610" t="s">
        <v>161</v>
      </c>
      <c r="R610" t="s">
        <v>1004</v>
      </c>
      <c r="S610" t="s">
        <v>1005</v>
      </c>
      <c r="T610" t="s">
        <v>487</v>
      </c>
    </row>
    <row r="611" spans="1:20" x14ac:dyDescent="0.2">
      <c r="A611" t="s">
        <v>1694</v>
      </c>
      <c r="B611" t="s">
        <v>1695</v>
      </c>
      <c r="C611" t="s">
        <v>1696</v>
      </c>
      <c r="D611" t="s">
        <v>35</v>
      </c>
      <c r="E611" t="s">
        <v>133</v>
      </c>
      <c r="F611" t="s">
        <v>133</v>
      </c>
      <c r="G611" t="s">
        <v>1003</v>
      </c>
      <c r="H611" t="s">
        <v>1676</v>
      </c>
      <c r="I611" t="s">
        <v>133</v>
      </c>
      <c r="M611" t="s">
        <v>137</v>
      </c>
      <c r="O611" t="s">
        <v>161</v>
      </c>
      <c r="R611" t="s">
        <v>1004</v>
      </c>
      <c r="S611" t="s">
        <v>1005</v>
      </c>
      <c r="T611" t="s">
        <v>487</v>
      </c>
    </row>
    <row r="612" spans="1:20" x14ac:dyDescent="0.2">
      <c r="A612" t="s">
        <v>1694</v>
      </c>
      <c r="B612" t="s">
        <v>1695</v>
      </c>
      <c r="C612" t="s">
        <v>1696</v>
      </c>
      <c r="D612" t="s">
        <v>35</v>
      </c>
      <c r="E612" t="s">
        <v>133</v>
      </c>
      <c r="F612" t="s">
        <v>133</v>
      </c>
      <c r="G612" t="s">
        <v>1003</v>
      </c>
      <c r="H612" t="s">
        <v>1679</v>
      </c>
      <c r="I612" t="s">
        <v>133</v>
      </c>
      <c r="M612" t="s">
        <v>137</v>
      </c>
      <c r="O612" t="s">
        <v>161</v>
      </c>
      <c r="R612" t="s">
        <v>1004</v>
      </c>
      <c r="S612" t="s">
        <v>1005</v>
      </c>
      <c r="T612" t="s">
        <v>487</v>
      </c>
    </row>
    <row r="613" spans="1:20" x14ac:dyDescent="0.2">
      <c r="A613" t="s">
        <v>1694</v>
      </c>
      <c r="B613" t="s">
        <v>1695</v>
      </c>
      <c r="C613" t="s">
        <v>1696</v>
      </c>
      <c r="D613" t="s">
        <v>35</v>
      </c>
      <c r="E613" t="s">
        <v>133</v>
      </c>
      <c r="F613" t="s">
        <v>133</v>
      </c>
      <c r="G613" t="s">
        <v>1003</v>
      </c>
      <c r="H613" t="s">
        <v>1681</v>
      </c>
      <c r="I613" t="s">
        <v>133</v>
      </c>
      <c r="M613" t="s">
        <v>137</v>
      </c>
      <c r="O613" t="s">
        <v>161</v>
      </c>
      <c r="R613" t="s">
        <v>1004</v>
      </c>
      <c r="S613" t="s">
        <v>1005</v>
      </c>
      <c r="T613" t="s">
        <v>487</v>
      </c>
    </row>
    <row r="614" spans="1:20" x14ac:dyDescent="0.2">
      <c r="A614" t="s">
        <v>1694</v>
      </c>
      <c r="B614" t="s">
        <v>1695</v>
      </c>
      <c r="C614" t="s">
        <v>1696</v>
      </c>
      <c r="D614" t="s">
        <v>35</v>
      </c>
      <c r="E614" t="s">
        <v>133</v>
      </c>
      <c r="F614" t="s">
        <v>133</v>
      </c>
      <c r="G614" t="s">
        <v>1003</v>
      </c>
      <c r="H614" t="s">
        <v>1684</v>
      </c>
      <c r="I614" t="s">
        <v>133</v>
      </c>
      <c r="M614" t="s">
        <v>137</v>
      </c>
      <c r="O614" t="s">
        <v>161</v>
      </c>
      <c r="R614" t="s">
        <v>1004</v>
      </c>
      <c r="S614" t="s">
        <v>1005</v>
      </c>
      <c r="T614" t="s">
        <v>487</v>
      </c>
    </row>
    <row r="615" spans="1:20" x14ac:dyDescent="0.2">
      <c r="A615" t="s">
        <v>1694</v>
      </c>
      <c r="B615" t="s">
        <v>1695</v>
      </c>
      <c r="C615" t="s">
        <v>1696</v>
      </c>
      <c r="D615" t="s">
        <v>35</v>
      </c>
      <c r="E615" t="s">
        <v>133</v>
      </c>
      <c r="F615" t="s">
        <v>133</v>
      </c>
      <c r="G615" t="s">
        <v>1003</v>
      </c>
      <c r="H615" t="s">
        <v>1687</v>
      </c>
      <c r="I615" t="s">
        <v>133</v>
      </c>
      <c r="M615" t="s">
        <v>137</v>
      </c>
      <c r="O615" t="s">
        <v>161</v>
      </c>
      <c r="R615" t="s">
        <v>1004</v>
      </c>
      <c r="S615" t="s">
        <v>1005</v>
      </c>
      <c r="T615" t="s">
        <v>487</v>
      </c>
    </row>
    <row r="616" spans="1:20" x14ac:dyDescent="0.2">
      <c r="A616" t="s">
        <v>1694</v>
      </c>
      <c r="B616" t="s">
        <v>1695</v>
      </c>
      <c r="C616" t="s">
        <v>1696</v>
      </c>
      <c r="D616" t="s">
        <v>35</v>
      </c>
      <c r="E616" t="s">
        <v>133</v>
      </c>
      <c r="F616" t="s">
        <v>133</v>
      </c>
      <c r="G616" t="s">
        <v>1688</v>
      </c>
      <c r="H616" t="s">
        <v>133</v>
      </c>
      <c r="I616" t="s">
        <v>133</v>
      </c>
      <c r="M616" t="s">
        <v>137</v>
      </c>
      <c r="O616" t="s">
        <v>161</v>
      </c>
      <c r="R616" t="s">
        <v>1689</v>
      </c>
      <c r="S616" t="s">
        <v>1690</v>
      </c>
      <c r="T616" t="s">
        <v>487</v>
      </c>
    </row>
    <row r="617" spans="1:20" x14ac:dyDescent="0.2">
      <c r="A617" t="s">
        <v>1694</v>
      </c>
      <c r="B617" t="s">
        <v>1695</v>
      </c>
      <c r="C617" t="s">
        <v>1696</v>
      </c>
      <c r="D617" t="s">
        <v>35</v>
      </c>
      <c r="E617" t="s">
        <v>133</v>
      </c>
      <c r="F617" t="s">
        <v>133</v>
      </c>
      <c r="G617" t="s">
        <v>1688</v>
      </c>
      <c r="H617" t="s">
        <v>1673</v>
      </c>
      <c r="I617" t="s">
        <v>133</v>
      </c>
      <c r="M617" t="s">
        <v>137</v>
      </c>
      <c r="O617" t="s">
        <v>161</v>
      </c>
      <c r="R617" t="s">
        <v>1689</v>
      </c>
      <c r="S617" t="s">
        <v>1690</v>
      </c>
      <c r="T617" t="s">
        <v>487</v>
      </c>
    </row>
    <row r="618" spans="1:20" x14ac:dyDescent="0.2">
      <c r="A618" t="s">
        <v>1694</v>
      </c>
      <c r="B618" t="s">
        <v>1695</v>
      </c>
      <c r="C618" t="s">
        <v>1696</v>
      </c>
      <c r="D618" t="s">
        <v>35</v>
      </c>
      <c r="E618" t="s">
        <v>133</v>
      </c>
      <c r="F618" t="s">
        <v>133</v>
      </c>
      <c r="G618" t="s">
        <v>1688</v>
      </c>
      <c r="H618" t="s">
        <v>1676</v>
      </c>
      <c r="I618" t="s">
        <v>133</v>
      </c>
      <c r="M618" t="s">
        <v>137</v>
      </c>
      <c r="O618" t="s">
        <v>161</v>
      </c>
      <c r="R618" t="s">
        <v>1689</v>
      </c>
      <c r="S618" t="s">
        <v>1690</v>
      </c>
      <c r="T618" t="s">
        <v>487</v>
      </c>
    </row>
    <row r="619" spans="1:20" x14ac:dyDescent="0.2">
      <c r="A619" t="s">
        <v>1694</v>
      </c>
      <c r="B619" t="s">
        <v>1695</v>
      </c>
      <c r="C619" t="s">
        <v>1696</v>
      </c>
      <c r="D619" t="s">
        <v>35</v>
      </c>
      <c r="E619" t="s">
        <v>133</v>
      </c>
      <c r="F619" t="s">
        <v>133</v>
      </c>
      <c r="G619" t="s">
        <v>1688</v>
      </c>
      <c r="H619" t="s">
        <v>1679</v>
      </c>
      <c r="I619" t="s">
        <v>133</v>
      </c>
      <c r="M619" t="s">
        <v>137</v>
      </c>
      <c r="O619" t="s">
        <v>161</v>
      </c>
      <c r="R619" t="s">
        <v>1689</v>
      </c>
      <c r="S619" t="s">
        <v>1690</v>
      </c>
      <c r="T619" t="s">
        <v>487</v>
      </c>
    </row>
    <row r="620" spans="1:20" x14ac:dyDescent="0.2">
      <c r="A620" t="s">
        <v>1694</v>
      </c>
      <c r="B620" t="s">
        <v>1695</v>
      </c>
      <c r="C620" t="s">
        <v>1696</v>
      </c>
      <c r="D620" t="s">
        <v>35</v>
      </c>
      <c r="E620" t="s">
        <v>133</v>
      </c>
      <c r="F620" t="s">
        <v>133</v>
      </c>
      <c r="G620" t="s">
        <v>1688</v>
      </c>
      <c r="H620" t="s">
        <v>1681</v>
      </c>
      <c r="I620" t="s">
        <v>133</v>
      </c>
      <c r="M620" t="s">
        <v>137</v>
      </c>
      <c r="O620" t="s">
        <v>161</v>
      </c>
      <c r="R620" t="s">
        <v>1689</v>
      </c>
      <c r="S620" t="s">
        <v>1690</v>
      </c>
      <c r="T620" t="s">
        <v>487</v>
      </c>
    </row>
    <row r="621" spans="1:20" x14ac:dyDescent="0.2">
      <c r="A621" t="s">
        <v>1694</v>
      </c>
      <c r="B621" t="s">
        <v>1695</v>
      </c>
      <c r="C621" t="s">
        <v>1696</v>
      </c>
      <c r="D621" t="s">
        <v>35</v>
      </c>
      <c r="E621" t="s">
        <v>133</v>
      </c>
      <c r="F621" t="s">
        <v>133</v>
      </c>
      <c r="G621" t="s">
        <v>1688</v>
      </c>
      <c r="H621" t="s">
        <v>1684</v>
      </c>
      <c r="I621" t="s">
        <v>133</v>
      </c>
      <c r="M621" t="s">
        <v>137</v>
      </c>
      <c r="O621" t="s">
        <v>161</v>
      </c>
      <c r="R621" t="s">
        <v>1689</v>
      </c>
      <c r="S621" t="s">
        <v>1690</v>
      </c>
      <c r="T621" t="s">
        <v>487</v>
      </c>
    </row>
    <row r="622" spans="1:20" x14ac:dyDescent="0.2">
      <c r="A622" t="s">
        <v>1694</v>
      </c>
      <c r="B622" t="s">
        <v>1695</v>
      </c>
      <c r="C622" t="s">
        <v>1696</v>
      </c>
      <c r="D622" t="s">
        <v>35</v>
      </c>
      <c r="E622" t="s">
        <v>133</v>
      </c>
      <c r="F622" t="s">
        <v>133</v>
      </c>
      <c r="G622" t="s">
        <v>1688</v>
      </c>
      <c r="H622" t="s">
        <v>1687</v>
      </c>
      <c r="I622" t="s">
        <v>133</v>
      </c>
      <c r="M622" t="s">
        <v>137</v>
      </c>
      <c r="O622" t="s">
        <v>161</v>
      </c>
      <c r="R622" t="s">
        <v>1689</v>
      </c>
      <c r="S622" t="s">
        <v>1690</v>
      </c>
      <c r="T622" t="s">
        <v>487</v>
      </c>
    </row>
    <row r="623" spans="1:20" x14ac:dyDescent="0.2">
      <c r="A623" t="s">
        <v>1694</v>
      </c>
      <c r="B623" t="s">
        <v>1695</v>
      </c>
      <c r="C623" t="s">
        <v>1696</v>
      </c>
      <c r="D623" t="s">
        <v>35</v>
      </c>
      <c r="E623" t="s">
        <v>133</v>
      </c>
      <c r="F623" t="s">
        <v>133</v>
      </c>
      <c r="G623" t="s">
        <v>1691</v>
      </c>
      <c r="H623" t="s">
        <v>133</v>
      </c>
      <c r="I623" t="s">
        <v>133</v>
      </c>
      <c r="M623" t="s">
        <v>137</v>
      </c>
      <c r="O623" t="s">
        <v>161</v>
      </c>
      <c r="R623" t="s">
        <v>1692</v>
      </c>
      <c r="S623" t="s">
        <v>1693</v>
      </c>
      <c r="T623" t="s">
        <v>487</v>
      </c>
    </row>
    <row r="624" spans="1:20" x14ac:dyDescent="0.2">
      <c r="A624" t="s">
        <v>1694</v>
      </c>
      <c r="B624" t="s">
        <v>1695</v>
      </c>
      <c r="C624" t="s">
        <v>1696</v>
      </c>
      <c r="D624" t="s">
        <v>35</v>
      </c>
      <c r="E624" t="s">
        <v>133</v>
      </c>
      <c r="F624" t="s">
        <v>133</v>
      </c>
      <c r="G624" t="s">
        <v>1691</v>
      </c>
      <c r="H624" t="s">
        <v>1673</v>
      </c>
      <c r="I624" t="s">
        <v>133</v>
      </c>
      <c r="M624" t="s">
        <v>137</v>
      </c>
      <c r="O624" t="s">
        <v>161</v>
      </c>
      <c r="R624" t="s">
        <v>1692</v>
      </c>
      <c r="S624" t="s">
        <v>1693</v>
      </c>
      <c r="T624" t="s">
        <v>487</v>
      </c>
    </row>
    <row r="625" spans="1:20" x14ac:dyDescent="0.2">
      <c r="A625" t="s">
        <v>1694</v>
      </c>
      <c r="B625" t="s">
        <v>1695</v>
      </c>
      <c r="C625" t="s">
        <v>1696</v>
      </c>
      <c r="D625" t="s">
        <v>35</v>
      </c>
      <c r="E625" t="s">
        <v>133</v>
      </c>
      <c r="F625" t="s">
        <v>133</v>
      </c>
      <c r="G625" t="s">
        <v>1691</v>
      </c>
      <c r="H625" t="s">
        <v>1676</v>
      </c>
      <c r="I625" t="s">
        <v>133</v>
      </c>
      <c r="M625" t="s">
        <v>137</v>
      </c>
      <c r="O625" t="s">
        <v>161</v>
      </c>
      <c r="R625" t="s">
        <v>1692</v>
      </c>
      <c r="S625" t="s">
        <v>1693</v>
      </c>
      <c r="T625" t="s">
        <v>487</v>
      </c>
    </row>
    <row r="626" spans="1:20" x14ac:dyDescent="0.2">
      <c r="A626" t="s">
        <v>1694</v>
      </c>
      <c r="B626" t="s">
        <v>1695</v>
      </c>
      <c r="C626" t="s">
        <v>1696</v>
      </c>
      <c r="D626" t="s">
        <v>35</v>
      </c>
      <c r="E626" t="s">
        <v>133</v>
      </c>
      <c r="F626" t="s">
        <v>133</v>
      </c>
      <c r="G626" t="s">
        <v>1691</v>
      </c>
      <c r="H626" t="s">
        <v>1679</v>
      </c>
      <c r="I626" t="s">
        <v>133</v>
      </c>
      <c r="M626" t="s">
        <v>137</v>
      </c>
      <c r="O626" t="s">
        <v>161</v>
      </c>
      <c r="R626" t="s">
        <v>1692</v>
      </c>
      <c r="S626" t="s">
        <v>1693</v>
      </c>
      <c r="T626" t="s">
        <v>487</v>
      </c>
    </row>
    <row r="627" spans="1:20" x14ac:dyDescent="0.2">
      <c r="A627" t="s">
        <v>1694</v>
      </c>
      <c r="B627" t="s">
        <v>1695</v>
      </c>
      <c r="C627" t="s">
        <v>1696</v>
      </c>
      <c r="D627" t="s">
        <v>35</v>
      </c>
      <c r="E627" t="s">
        <v>133</v>
      </c>
      <c r="F627" t="s">
        <v>133</v>
      </c>
      <c r="G627" t="s">
        <v>1691</v>
      </c>
      <c r="H627" t="s">
        <v>1681</v>
      </c>
      <c r="I627" t="s">
        <v>133</v>
      </c>
      <c r="M627" t="s">
        <v>137</v>
      </c>
      <c r="O627" t="s">
        <v>161</v>
      </c>
      <c r="R627" t="s">
        <v>1692</v>
      </c>
      <c r="S627" t="s">
        <v>1693</v>
      </c>
      <c r="T627" t="s">
        <v>487</v>
      </c>
    </row>
    <row r="628" spans="1:20" x14ac:dyDescent="0.2">
      <c r="A628" t="s">
        <v>1694</v>
      </c>
      <c r="B628" t="s">
        <v>1695</v>
      </c>
      <c r="C628" t="s">
        <v>1696</v>
      </c>
      <c r="D628" t="s">
        <v>35</v>
      </c>
      <c r="E628" t="s">
        <v>133</v>
      </c>
      <c r="F628" t="s">
        <v>133</v>
      </c>
      <c r="G628" t="s">
        <v>1691</v>
      </c>
      <c r="H628" t="s">
        <v>1684</v>
      </c>
      <c r="I628" t="s">
        <v>133</v>
      </c>
      <c r="M628" t="s">
        <v>137</v>
      </c>
      <c r="O628" t="s">
        <v>161</v>
      </c>
      <c r="R628" t="s">
        <v>1692</v>
      </c>
      <c r="S628" t="s">
        <v>1693</v>
      </c>
      <c r="T628" t="s">
        <v>487</v>
      </c>
    </row>
    <row r="629" spans="1:20" x14ac:dyDescent="0.2">
      <c r="A629" t="s">
        <v>1694</v>
      </c>
      <c r="B629" t="s">
        <v>1695</v>
      </c>
      <c r="C629" t="s">
        <v>1696</v>
      </c>
      <c r="D629" t="s">
        <v>35</v>
      </c>
      <c r="E629" t="s">
        <v>133</v>
      </c>
      <c r="F629" t="s">
        <v>133</v>
      </c>
      <c r="G629" t="s">
        <v>1691</v>
      </c>
      <c r="H629" t="s">
        <v>1687</v>
      </c>
      <c r="I629" t="s">
        <v>133</v>
      </c>
      <c r="M629" t="s">
        <v>137</v>
      </c>
      <c r="O629" t="s">
        <v>161</v>
      </c>
      <c r="R629" t="s">
        <v>1692</v>
      </c>
      <c r="S629" t="s">
        <v>1693</v>
      </c>
      <c r="T629" t="s">
        <v>487</v>
      </c>
    </row>
    <row r="630" spans="1:20" x14ac:dyDescent="0.2">
      <c r="A630" t="s">
        <v>999</v>
      </c>
      <c r="B630" t="s">
        <v>1000</v>
      </c>
      <c r="C630" t="s">
        <v>1001</v>
      </c>
      <c r="D630" t="s">
        <v>35</v>
      </c>
      <c r="E630" t="s">
        <v>505</v>
      </c>
      <c r="F630" t="s">
        <v>133</v>
      </c>
      <c r="G630" t="s">
        <v>1688</v>
      </c>
      <c r="H630" t="s">
        <v>133</v>
      </c>
      <c r="M630" t="s">
        <v>282</v>
      </c>
      <c r="O630" t="s">
        <v>161</v>
      </c>
      <c r="S630" t="s">
        <v>1690</v>
      </c>
      <c r="T630" t="s">
        <v>265</v>
      </c>
    </row>
    <row r="631" spans="1:20" x14ac:dyDescent="0.2">
      <c r="A631" t="s">
        <v>999</v>
      </c>
      <c r="B631" t="s">
        <v>1000</v>
      </c>
      <c r="C631" t="s">
        <v>1001</v>
      </c>
      <c r="D631" t="s">
        <v>61</v>
      </c>
      <c r="E631" t="s">
        <v>255</v>
      </c>
      <c r="F631" t="s">
        <v>133</v>
      </c>
      <c r="G631" t="s">
        <v>1688</v>
      </c>
      <c r="H631" t="s">
        <v>133</v>
      </c>
      <c r="K631" t="s">
        <v>289</v>
      </c>
      <c r="M631" t="s">
        <v>282</v>
      </c>
      <c r="O631" t="s">
        <v>161</v>
      </c>
    </row>
    <row r="632" spans="1:20" x14ac:dyDescent="0.2">
      <c r="A632" t="s">
        <v>1006</v>
      </c>
      <c r="B632" t="s">
        <v>1007</v>
      </c>
      <c r="C632" t="s">
        <v>1008</v>
      </c>
      <c r="D632" t="s">
        <v>35</v>
      </c>
      <c r="E632" t="s">
        <v>505</v>
      </c>
      <c r="F632" t="s">
        <v>133</v>
      </c>
      <c r="G632" t="s">
        <v>1688</v>
      </c>
      <c r="H632" t="s">
        <v>133</v>
      </c>
      <c r="M632" t="s">
        <v>282</v>
      </c>
      <c r="O632" t="s">
        <v>161</v>
      </c>
      <c r="S632" t="s">
        <v>1690</v>
      </c>
      <c r="T632" t="s">
        <v>265</v>
      </c>
    </row>
    <row r="633" spans="1:20" x14ac:dyDescent="0.2">
      <c r="A633" t="s">
        <v>1006</v>
      </c>
      <c r="B633" t="s">
        <v>1007</v>
      </c>
      <c r="C633" t="s">
        <v>1008</v>
      </c>
      <c r="D633" t="s">
        <v>61</v>
      </c>
      <c r="E633" t="s">
        <v>255</v>
      </c>
      <c r="F633" t="s">
        <v>133</v>
      </c>
      <c r="G633" t="s">
        <v>1688</v>
      </c>
      <c r="H633" t="s">
        <v>133</v>
      </c>
      <c r="K633" t="s">
        <v>350</v>
      </c>
      <c r="M633" t="s">
        <v>282</v>
      </c>
      <c r="O633" t="s">
        <v>161</v>
      </c>
    </row>
    <row r="634" spans="1:20" x14ac:dyDescent="0.2">
      <c r="A634" t="s">
        <v>1009</v>
      </c>
      <c r="B634" t="s">
        <v>1010</v>
      </c>
      <c r="C634" t="s">
        <v>1011</v>
      </c>
      <c r="D634" t="s">
        <v>35</v>
      </c>
      <c r="E634" t="s">
        <v>505</v>
      </c>
      <c r="F634" t="s">
        <v>133</v>
      </c>
      <c r="G634" t="s">
        <v>1688</v>
      </c>
      <c r="H634" t="s">
        <v>133</v>
      </c>
      <c r="M634" t="s">
        <v>282</v>
      </c>
      <c r="O634" t="s">
        <v>161</v>
      </c>
      <c r="S634" t="s">
        <v>1690</v>
      </c>
      <c r="T634" t="s">
        <v>265</v>
      </c>
    </row>
    <row r="635" spans="1:20" x14ac:dyDescent="0.2">
      <c r="A635" t="s">
        <v>1009</v>
      </c>
      <c r="B635" t="s">
        <v>1010</v>
      </c>
      <c r="C635" t="s">
        <v>1011</v>
      </c>
      <c r="D635" t="s">
        <v>61</v>
      </c>
      <c r="E635" t="s">
        <v>255</v>
      </c>
      <c r="F635" t="s">
        <v>133</v>
      </c>
      <c r="G635" t="s">
        <v>1688</v>
      </c>
      <c r="H635" t="s">
        <v>133</v>
      </c>
      <c r="K635" t="s">
        <v>305</v>
      </c>
      <c r="M635" t="s">
        <v>282</v>
      </c>
      <c r="O635" t="s">
        <v>161</v>
      </c>
    </row>
    <row r="636" spans="1:20" x14ac:dyDescent="0.2">
      <c r="A636" t="s">
        <v>1012</v>
      </c>
      <c r="B636" t="s">
        <v>1013</v>
      </c>
      <c r="C636" t="s">
        <v>1014</v>
      </c>
      <c r="D636" t="s">
        <v>35</v>
      </c>
      <c r="E636" t="s">
        <v>505</v>
      </c>
      <c r="F636" t="s">
        <v>133</v>
      </c>
      <c r="G636" t="s">
        <v>1688</v>
      </c>
      <c r="H636" t="s">
        <v>133</v>
      </c>
      <c r="M636" t="s">
        <v>282</v>
      </c>
      <c r="O636" t="s">
        <v>161</v>
      </c>
      <c r="S636" t="s">
        <v>1690</v>
      </c>
      <c r="T636" t="s">
        <v>265</v>
      </c>
    </row>
    <row r="637" spans="1:20" x14ac:dyDescent="0.2">
      <c r="A637" t="s">
        <v>1012</v>
      </c>
      <c r="B637" t="s">
        <v>1013</v>
      </c>
      <c r="C637" t="s">
        <v>1014</v>
      </c>
      <c r="D637" t="s">
        <v>61</v>
      </c>
      <c r="E637" t="s">
        <v>255</v>
      </c>
      <c r="F637" t="s">
        <v>133</v>
      </c>
      <c r="G637" t="s">
        <v>1688</v>
      </c>
      <c r="H637" t="s">
        <v>133</v>
      </c>
      <c r="K637" t="s">
        <v>322</v>
      </c>
      <c r="M637" t="s">
        <v>282</v>
      </c>
      <c r="O637" t="s">
        <v>161</v>
      </c>
    </row>
    <row r="638" spans="1:20" x14ac:dyDescent="0.2">
      <c r="A638" t="s">
        <v>574</v>
      </c>
      <c r="B638" t="s">
        <v>575</v>
      </c>
      <c r="C638" t="s">
        <v>576</v>
      </c>
      <c r="D638" t="s">
        <v>35</v>
      </c>
      <c r="E638" t="s">
        <v>133</v>
      </c>
      <c r="F638" t="s">
        <v>133</v>
      </c>
      <c r="G638" t="s">
        <v>1688</v>
      </c>
      <c r="H638" t="s">
        <v>133</v>
      </c>
      <c r="M638" t="s">
        <v>137</v>
      </c>
      <c r="O638" t="s">
        <v>161</v>
      </c>
      <c r="S638" t="s">
        <v>1690</v>
      </c>
      <c r="T638" t="s">
        <v>265</v>
      </c>
    </row>
    <row r="639" spans="1:20" x14ac:dyDescent="0.2">
      <c r="A639" t="s">
        <v>577</v>
      </c>
      <c r="B639" t="s">
        <v>578</v>
      </c>
      <c r="C639" t="s">
        <v>579</v>
      </c>
      <c r="D639" t="s">
        <v>35</v>
      </c>
      <c r="E639" t="s">
        <v>133</v>
      </c>
      <c r="F639" t="s">
        <v>133</v>
      </c>
      <c r="G639" t="s">
        <v>1688</v>
      </c>
      <c r="H639" t="s">
        <v>133</v>
      </c>
      <c r="M639" t="s">
        <v>137</v>
      </c>
      <c r="O639" t="s">
        <v>161</v>
      </c>
      <c r="S639" t="s">
        <v>1690</v>
      </c>
      <c r="T639" t="s">
        <v>265</v>
      </c>
    </row>
    <row r="640" spans="1:20" x14ac:dyDescent="0.2">
      <c r="A640" t="s">
        <v>658</v>
      </c>
      <c r="B640" t="s">
        <v>659</v>
      </c>
      <c r="C640" t="s">
        <v>660</v>
      </c>
      <c r="D640" t="s">
        <v>35</v>
      </c>
      <c r="E640" t="s">
        <v>133</v>
      </c>
      <c r="F640" t="s">
        <v>133</v>
      </c>
      <c r="G640" t="s">
        <v>1688</v>
      </c>
      <c r="H640" t="s">
        <v>133</v>
      </c>
      <c r="M640" t="s">
        <v>282</v>
      </c>
      <c r="O640" t="s">
        <v>161</v>
      </c>
      <c r="S640" t="s">
        <v>1690</v>
      </c>
      <c r="T640" t="s">
        <v>265</v>
      </c>
    </row>
    <row r="641" spans="1:20" x14ac:dyDescent="0.2">
      <c r="A641" t="s">
        <v>661</v>
      </c>
      <c r="B641" t="s">
        <v>662</v>
      </c>
      <c r="C641" t="s">
        <v>663</v>
      </c>
      <c r="D641" t="s">
        <v>24</v>
      </c>
      <c r="E641" t="s">
        <v>133</v>
      </c>
      <c r="F641" t="s">
        <v>133</v>
      </c>
      <c r="G641" t="s">
        <v>1688</v>
      </c>
      <c r="H641" t="s">
        <v>133</v>
      </c>
      <c r="M641" t="s">
        <v>282</v>
      </c>
      <c r="O641" t="s">
        <v>161</v>
      </c>
      <c r="S641" t="s">
        <v>1690</v>
      </c>
      <c r="T641" t="s">
        <v>265</v>
      </c>
    </row>
    <row r="642" spans="1:20" x14ac:dyDescent="0.2">
      <c r="A642" t="s">
        <v>584</v>
      </c>
      <c r="B642" t="s">
        <v>585</v>
      </c>
      <c r="C642" t="s">
        <v>586</v>
      </c>
      <c r="D642" t="s">
        <v>35</v>
      </c>
      <c r="E642" t="s">
        <v>133</v>
      </c>
      <c r="F642" t="s">
        <v>133</v>
      </c>
      <c r="G642" t="s">
        <v>1688</v>
      </c>
      <c r="H642" t="s">
        <v>133</v>
      </c>
      <c r="M642" t="s">
        <v>282</v>
      </c>
      <c r="O642" t="s">
        <v>161</v>
      </c>
      <c r="S642" t="s">
        <v>1690</v>
      </c>
      <c r="T642" t="s">
        <v>265</v>
      </c>
    </row>
    <row r="643" spans="1:20" x14ac:dyDescent="0.2">
      <c r="A643" t="s">
        <v>587</v>
      </c>
      <c r="B643" t="s">
        <v>588</v>
      </c>
      <c r="C643" t="s">
        <v>589</v>
      </c>
      <c r="D643" t="s">
        <v>35</v>
      </c>
      <c r="E643" t="s">
        <v>133</v>
      </c>
      <c r="F643" t="s">
        <v>133</v>
      </c>
      <c r="G643" t="s">
        <v>1688</v>
      </c>
      <c r="H643" t="s">
        <v>133</v>
      </c>
      <c r="M643" t="s">
        <v>282</v>
      </c>
      <c r="O643" t="s">
        <v>161</v>
      </c>
      <c r="S643" t="s">
        <v>1690</v>
      </c>
      <c r="T643" t="s">
        <v>265</v>
      </c>
    </row>
    <row r="644" spans="1:20" x14ac:dyDescent="0.2">
      <c r="A644" t="s">
        <v>63</v>
      </c>
      <c r="B644" t="s">
        <v>64</v>
      </c>
      <c r="C644" t="s">
        <v>65</v>
      </c>
      <c r="D644" t="s">
        <v>24</v>
      </c>
      <c r="E644" t="s">
        <v>133</v>
      </c>
      <c r="F644" t="s">
        <v>133</v>
      </c>
      <c r="G644" t="s">
        <v>1688</v>
      </c>
      <c r="H644" t="s">
        <v>133</v>
      </c>
      <c r="M644" t="s">
        <v>282</v>
      </c>
      <c r="O644" t="s">
        <v>161</v>
      </c>
      <c r="S644" t="s">
        <v>1690</v>
      </c>
      <c r="T644" t="s">
        <v>265</v>
      </c>
    </row>
    <row r="645" spans="1:20" x14ac:dyDescent="0.2">
      <c r="A645" t="s">
        <v>542</v>
      </c>
      <c r="B645" t="s">
        <v>543</v>
      </c>
      <c r="C645" t="s">
        <v>544</v>
      </c>
      <c r="D645" t="s">
        <v>35</v>
      </c>
      <c r="E645" t="s">
        <v>133</v>
      </c>
      <c r="F645" t="s">
        <v>133</v>
      </c>
      <c r="G645" t="s">
        <v>1688</v>
      </c>
      <c r="H645" t="s">
        <v>133</v>
      </c>
      <c r="M645" t="s">
        <v>137</v>
      </c>
      <c r="O645" t="s">
        <v>161</v>
      </c>
      <c r="S645" t="s">
        <v>1690</v>
      </c>
      <c r="T645" t="s">
        <v>265</v>
      </c>
    </row>
    <row r="646" spans="1:20" x14ac:dyDescent="0.2">
      <c r="A646" t="s">
        <v>608</v>
      </c>
      <c r="B646" t="s">
        <v>609</v>
      </c>
      <c r="C646" t="s">
        <v>610</v>
      </c>
      <c r="D646" t="s">
        <v>35</v>
      </c>
      <c r="E646" t="s">
        <v>133</v>
      </c>
      <c r="F646" t="s">
        <v>133</v>
      </c>
      <c r="G646" t="s">
        <v>1688</v>
      </c>
      <c r="H646" t="s">
        <v>133</v>
      </c>
      <c r="M646" t="s">
        <v>137</v>
      </c>
      <c r="O646" t="s">
        <v>161</v>
      </c>
      <c r="S646" t="s">
        <v>1690</v>
      </c>
      <c r="T646" t="s">
        <v>265</v>
      </c>
    </row>
    <row r="647" spans="1:20" x14ac:dyDescent="0.2">
      <c r="A647" t="s">
        <v>611</v>
      </c>
      <c r="B647" t="s">
        <v>612</v>
      </c>
      <c r="C647" t="s">
        <v>613</v>
      </c>
      <c r="D647" t="s">
        <v>35</v>
      </c>
      <c r="E647" t="s">
        <v>133</v>
      </c>
      <c r="F647" t="s">
        <v>133</v>
      </c>
      <c r="G647" t="s">
        <v>1688</v>
      </c>
      <c r="H647" t="s">
        <v>133</v>
      </c>
      <c r="M647" t="s">
        <v>282</v>
      </c>
      <c r="O647" t="s">
        <v>161</v>
      </c>
      <c r="S647" t="s">
        <v>1690</v>
      </c>
      <c r="T647" t="s">
        <v>265</v>
      </c>
    </row>
    <row r="648" spans="1:20" x14ac:dyDescent="0.2">
      <c r="A648" t="s">
        <v>524</v>
      </c>
      <c r="B648" t="s">
        <v>525</v>
      </c>
      <c r="C648" t="s">
        <v>526</v>
      </c>
      <c r="D648" t="s">
        <v>61</v>
      </c>
      <c r="E648" t="s">
        <v>133</v>
      </c>
      <c r="F648" t="s">
        <v>133</v>
      </c>
      <c r="G648" t="s">
        <v>1688</v>
      </c>
      <c r="H648" t="s">
        <v>133</v>
      </c>
      <c r="K648" t="s">
        <v>1015</v>
      </c>
      <c r="M648" t="s">
        <v>137</v>
      </c>
      <c r="O648" t="s">
        <v>161</v>
      </c>
    </row>
    <row r="649" spans="1:20" x14ac:dyDescent="0.2">
      <c r="A649" t="s">
        <v>562</v>
      </c>
      <c r="B649" t="s">
        <v>563</v>
      </c>
      <c r="C649" t="s">
        <v>564</v>
      </c>
      <c r="D649" t="s">
        <v>61</v>
      </c>
      <c r="E649" t="s">
        <v>133</v>
      </c>
      <c r="F649" t="s">
        <v>133</v>
      </c>
      <c r="G649" t="s">
        <v>1688</v>
      </c>
      <c r="H649" t="s">
        <v>133</v>
      </c>
      <c r="K649" t="s">
        <v>1014</v>
      </c>
      <c r="M649" t="s">
        <v>282</v>
      </c>
      <c r="O649" t="s">
        <v>161</v>
      </c>
    </row>
    <row r="650" spans="1:20" x14ac:dyDescent="0.2">
      <c r="A650" t="s">
        <v>1697</v>
      </c>
      <c r="B650" t="s">
        <v>1698</v>
      </c>
      <c r="C650" t="s">
        <v>1699</v>
      </c>
      <c r="D650" t="s">
        <v>35</v>
      </c>
      <c r="E650" t="s">
        <v>505</v>
      </c>
      <c r="F650" t="s">
        <v>1700</v>
      </c>
      <c r="G650" t="s">
        <v>1701</v>
      </c>
      <c r="H650" t="s">
        <v>133</v>
      </c>
      <c r="M650" t="s">
        <v>137</v>
      </c>
      <c r="O650" t="s">
        <v>161</v>
      </c>
      <c r="S650" t="s">
        <v>1702</v>
      </c>
      <c r="T650" t="s">
        <v>265</v>
      </c>
    </row>
    <row r="651" spans="1:20" x14ac:dyDescent="0.2">
      <c r="A651" t="s">
        <v>1697</v>
      </c>
      <c r="B651" t="s">
        <v>1698</v>
      </c>
      <c r="C651" t="s">
        <v>1699</v>
      </c>
      <c r="D651" t="s">
        <v>61</v>
      </c>
      <c r="E651" t="s">
        <v>255</v>
      </c>
      <c r="F651" t="s">
        <v>1700</v>
      </c>
      <c r="G651" t="s">
        <v>1701</v>
      </c>
      <c r="H651" t="s">
        <v>133</v>
      </c>
      <c r="K651" t="s">
        <v>259</v>
      </c>
      <c r="M651" t="s">
        <v>137</v>
      </c>
      <c r="O651" t="s">
        <v>161</v>
      </c>
    </row>
    <row r="652" spans="1:20" x14ac:dyDescent="0.2">
      <c r="A652" t="s">
        <v>999</v>
      </c>
      <c r="B652" t="s">
        <v>1000</v>
      </c>
      <c r="C652" t="s">
        <v>1001</v>
      </c>
      <c r="D652" t="s">
        <v>35</v>
      </c>
      <c r="E652" t="s">
        <v>505</v>
      </c>
      <c r="F652" t="s">
        <v>1700</v>
      </c>
      <c r="G652" t="s">
        <v>133</v>
      </c>
      <c r="H652" t="s">
        <v>133</v>
      </c>
      <c r="M652" t="s">
        <v>282</v>
      </c>
      <c r="O652" t="s">
        <v>161</v>
      </c>
      <c r="S652" t="s">
        <v>1702</v>
      </c>
      <c r="T652" t="s">
        <v>265</v>
      </c>
    </row>
    <row r="653" spans="1:20" x14ac:dyDescent="0.2">
      <c r="A653" t="s">
        <v>999</v>
      </c>
      <c r="B653" t="s">
        <v>1000</v>
      </c>
      <c r="C653" t="s">
        <v>1001</v>
      </c>
      <c r="D653" t="s">
        <v>61</v>
      </c>
      <c r="E653" t="s">
        <v>255</v>
      </c>
      <c r="F653" t="s">
        <v>1700</v>
      </c>
      <c r="G653" t="s">
        <v>133</v>
      </c>
      <c r="H653" t="s">
        <v>133</v>
      </c>
      <c r="K653" t="s">
        <v>289</v>
      </c>
      <c r="M653" t="s">
        <v>282</v>
      </c>
      <c r="O653" t="s">
        <v>161</v>
      </c>
    </row>
    <row r="654" spans="1:20" x14ac:dyDescent="0.2">
      <c r="A654" t="s">
        <v>1006</v>
      </c>
      <c r="B654" t="s">
        <v>1007</v>
      </c>
      <c r="C654" t="s">
        <v>1008</v>
      </c>
      <c r="D654" t="s">
        <v>35</v>
      </c>
      <c r="E654" t="s">
        <v>505</v>
      </c>
      <c r="F654" t="s">
        <v>1700</v>
      </c>
      <c r="G654" t="s">
        <v>133</v>
      </c>
      <c r="H654" t="s">
        <v>133</v>
      </c>
      <c r="M654" t="s">
        <v>282</v>
      </c>
      <c r="O654" t="s">
        <v>161</v>
      </c>
      <c r="S654" t="s">
        <v>1702</v>
      </c>
      <c r="T654" t="s">
        <v>265</v>
      </c>
    </row>
    <row r="655" spans="1:20" x14ac:dyDescent="0.2">
      <c r="A655" t="s">
        <v>1006</v>
      </c>
      <c r="B655" t="s">
        <v>1007</v>
      </c>
      <c r="C655" t="s">
        <v>1008</v>
      </c>
      <c r="D655" t="s">
        <v>61</v>
      </c>
      <c r="E655" t="s">
        <v>255</v>
      </c>
      <c r="F655" t="s">
        <v>1700</v>
      </c>
      <c r="G655" t="s">
        <v>133</v>
      </c>
      <c r="H655" t="s">
        <v>133</v>
      </c>
      <c r="K655" t="s">
        <v>350</v>
      </c>
      <c r="M655" t="s">
        <v>282</v>
      </c>
      <c r="O655" t="s">
        <v>161</v>
      </c>
    </row>
    <row r="656" spans="1:20" x14ac:dyDescent="0.2">
      <c r="A656" t="s">
        <v>1009</v>
      </c>
      <c r="B656" t="s">
        <v>1010</v>
      </c>
      <c r="C656" t="s">
        <v>1011</v>
      </c>
      <c r="D656" t="s">
        <v>35</v>
      </c>
      <c r="E656" t="s">
        <v>505</v>
      </c>
      <c r="F656" t="s">
        <v>1700</v>
      </c>
      <c r="G656" t="s">
        <v>133</v>
      </c>
      <c r="H656" t="s">
        <v>133</v>
      </c>
      <c r="M656" t="s">
        <v>282</v>
      </c>
      <c r="O656" t="s">
        <v>161</v>
      </c>
      <c r="S656" t="s">
        <v>1702</v>
      </c>
      <c r="T656" t="s">
        <v>265</v>
      </c>
    </row>
    <row r="657" spans="1:20" x14ac:dyDescent="0.2">
      <c r="A657" t="s">
        <v>1009</v>
      </c>
      <c r="B657" t="s">
        <v>1010</v>
      </c>
      <c r="C657" t="s">
        <v>1011</v>
      </c>
      <c r="D657" t="s">
        <v>61</v>
      </c>
      <c r="E657" t="s">
        <v>255</v>
      </c>
      <c r="F657" t="s">
        <v>1700</v>
      </c>
      <c r="G657" t="s">
        <v>133</v>
      </c>
      <c r="H657" t="s">
        <v>133</v>
      </c>
      <c r="K657" t="s">
        <v>305</v>
      </c>
      <c r="M657" t="s">
        <v>282</v>
      </c>
      <c r="O657" t="s">
        <v>161</v>
      </c>
    </row>
    <row r="658" spans="1:20" x14ac:dyDescent="0.2">
      <c r="A658" t="s">
        <v>1012</v>
      </c>
      <c r="B658" t="s">
        <v>1013</v>
      </c>
      <c r="C658" t="s">
        <v>1014</v>
      </c>
      <c r="D658" t="s">
        <v>35</v>
      </c>
      <c r="E658" t="s">
        <v>505</v>
      </c>
      <c r="F658" t="s">
        <v>1700</v>
      </c>
      <c r="G658" t="s">
        <v>133</v>
      </c>
      <c r="H658" t="s">
        <v>133</v>
      </c>
      <c r="M658" t="s">
        <v>282</v>
      </c>
      <c r="O658" t="s">
        <v>161</v>
      </c>
      <c r="S658" t="s">
        <v>1702</v>
      </c>
      <c r="T658" t="s">
        <v>265</v>
      </c>
    </row>
    <row r="659" spans="1:20" x14ac:dyDescent="0.2">
      <c r="A659" t="s">
        <v>1012</v>
      </c>
      <c r="B659" t="s">
        <v>1013</v>
      </c>
      <c r="C659" t="s">
        <v>1014</v>
      </c>
      <c r="D659" t="s">
        <v>61</v>
      </c>
      <c r="E659" t="s">
        <v>255</v>
      </c>
      <c r="F659" t="s">
        <v>1700</v>
      </c>
      <c r="G659" t="s">
        <v>133</v>
      </c>
      <c r="H659" t="s">
        <v>133</v>
      </c>
      <c r="K659" t="s">
        <v>322</v>
      </c>
      <c r="M659" t="s">
        <v>282</v>
      </c>
      <c r="O659" t="s">
        <v>161</v>
      </c>
    </row>
    <row r="660" spans="1:20" x14ac:dyDescent="0.2">
      <c r="A660" t="s">
        <v>574</v>
      </c>
      <c r="B660" t="s">
        <v>575</v>
      </c>
      <c r="C660" t="s">
        <v>576</v>
      </c>
      <c r="D660" t="s">
        <v>35</v>
      </c>
      <c r="E660" t="s">
        <v>133</v>
      </c>
      <c r="F660" t="s">
        <v>1700</v>
      </c>
      <c r="G660" t="s">
        <v>133</v>
      </c>
      <c r="H660" t="s">
        <v>133</v>
      </c>
      <c r="M660" t="s">
        <v>137</v>
      </c>
      <c r="O660" t="s">
        <v>161</v>
      </c>
      <c r="S660" t="s">
        <v>1702</v>
      </c>
      <c r="T660" t="s">
        <v>265</v>
      </c>
    </row>
    <row r="661" spans="1:20" x14ac:dyDescent="0.2">
      <c r="A661" t="s">
        <v>577</v>
      </c>
      <c r="B661" t="s">
        <v>578</v>
      </c>
      <c r="C661" t="s">
        <v>579</v>
      </c>
      <c r="D661" t="s">
        <v>35</v>
      </c>
      <c r="E661" t="s">
        <v>133</v>
      </c>
      <c r="F661" t="s">
        <v>1700</v>
      </c>
      <c r="G661" t="s">
        <v>133</v>
      </c>
      <c r="H661" t="s">
        <v>133</v>
      </c>
      <c r="M661" t="s">
        <v>137</v>
      </c>
      <c r="O661" t="s">
        <v>161</v>
      </c>
      <c r="S661" t="s">
        <v>1702</v>
      </c>
      <c r="T661" t="s">
        <v>265</v>
      </c>
    </row>
    <row r="662" spans="1:20" x14ac:dyDescent="0.2">
      <c r="A662" t="s">
        <v>658</v>
      </c>
      <c r="B662" t="s">
        <v>659</v>
      </c>
      <c r="C662" t="s">
        <v>660</v>
      </c>
      <c r="D662" t="s">
        <v>35</v>
      </c>
      <c r="E662" t="s">
        <v>133</v>
      </c>
      <c r="F662" t="s">
        <v>1700</v>
      </c>
      <c r="G662" t="s">
        <v>133</v>
      </c>
      <c r="H662" t="s">
        <v>133</v>
      </c>
      <c r="M662" t="s">
        <v>282</v>
      </c>
      <c r="O662" t="s">
        <v>161</v>
      </c>
      <c r="S662" t="s">
        <v>1702</v>
      </c>
      <c r="T662" t="s">
        <v>265</v>
      </c>
    </row>
    <row r="663" spans="1:20" x14ac:dyDescent="0.2">
      <c r="A663" t="s">
        <v>661</v>
      </c>
      <c r="B663" t="s">
        <v>662</v>
      </c>
      <c r="C663" t="s">
        <v>663</v>
      </c>
      <c r="D663" t="s">
        <v>24</v>
      </c>
      <c r="E663" t="s">
        <v>133</v>
      </c>
      <c r="F663" t="s">
        <v>1700</v>
      </c>
      <c r="G663" t="s">
        <v>133</v>
      </c>
      <c r="H663" t="s">
        <v>133</v>
      </c>
      <c r="M663" t="s">
        <v>282</v>
      </c>
      <c r="O663" t="s">
        <v>161</v>
      </c>
      <c r="S663" t="s">
        <v>1702</v>
      </c>
      <c r="T663" t="s">
        <v>265</v>
      </c>
    </row>
    <row r="664" spans="1:20" x14ac:dyDescent="0.2">
      <c r="A664" t="s">
        <v>584</v>
      </c>
      <c r="B664" t="s">
        <v>585</v>
      </c>
      <c r="C664" t="s">
        <v>586</v>
      </c>
      <c r="D664" t="s">
        <v>35</v>
      </c>
      <c r="E664" t="s">
        <v>133</v>
      </c>
      <c r="F664" t="s">
        <v>1700</v>
      </c>
      <c r="G664" t="s">
        <v>133</v>
      </c>
      <c r="H664" t="s">
        <v>133</v>
      </c>
      <c r="M664" t="s">
        <v>282</v>
      </c>
      <c r="O664" t="s">
        <v>161</v>
      </c>
      <c r="S664" t="s">
        <v>1702</v>
      </c>
      <c r="T664" t="s">
        <v>265</v>
      </c>
    </row>
    <row r="665" spans="1:20" x14ac:dyDescent="0.2">
      <c r="A665" t="s">
        <v>587</v>
      </c>
      <c r="B665" t="s">
        <v>588</v>
      </c>
      <c r="C665" t="s">
        <v>589</v>
      </c>
      <c r="D665" t="s">
        <v>35</v>
      </c>
      <c r="E665" t="s">
        <v>133</v>
      </c>
      <c r="F665" t="s">
        <v>1700</v>
      </c>
      <c r="G665" t="s">
        <v>133</v>
      </c>
      <c r="H665" t="s">
        <v>133</v>
      </c>
      <c r="M665" t="s">
        <v>282</v>
      </c>
      <c r="O665" t="s">
        <v>161</v>
      </c>
      <c r="S665" t="s">
        <v>1702</v>
      </c>
      <c r="T665" t="s">
        <v>265</v>
      </c>
    </row>
    <row r="666" spans="1:20" x14ac:dyDescent="0.2">
      <c r="A666" t="s">
        <v>63</v>
      </c>
      <c r="B666" t="s">
        <v>64</v>
      </c>
      <c r="C666" t="s">
        <v>65</v>
      </c>
      <c r="D666" t="s">
        <v>24</v>
      </c>
      <c r="E666" t="s">
        <v>133</v>
      </c>
      <c r="F666" t="s">
        <v>1700</v>
      </c>
      <c r="G666" t="s">
        <v>133</v>
      </c>
      <c r="H666" t="s">
        <v>133</v>
      </c>
      <c r="M666" t="s">
        <v>282</v>
      </c>
      <c r="O666" t="s">
        <v>161</v>
      </c>
      <c r="S666" t="s">
        <v>1702</v>
      </c>
      <c r="T666" t="s">
        <v>265</v>
      </c>
    </row>
    <row r="667" spans="1:20" x14ac:dyDescent="0.2">
      <c r="A667" t="s">
        <v>542</v>
      </c>
      <c r="B667" t="s">
        <v>543</v>
      </c>
      <c r="C667" t="s">
        <v>544</v>
      </c>
      <c r="D667" t="s">
        <v>35</v>
      </c>
      <c r="E667" t="s">
        <v>133</v>
      </c>
      <c r="F667" t="s">
        <v>1700</v>
      </c>
      <c r="G667" t="s">
        <v>133</v>
      </c>
      <c r="H667" t="s">
        <v>133</v>
      </c>
      <c r="M667" t="s">
        <v>137</v>
      </c>
      <c r="O667" t="s">
        <v>161</v>
      </c>
      <c r="S667" t="s">
        <v>1702</v>
      </c>
      <c r="T667" t="s">
        <v>265</v>
      </c>
    </row>
    <row r="668" spans="1:20" x14ac:dyDescent="0.2">
      <c r="A668" t="s">
        <v>608</v>
      </c>
      <c r="B668" t="s">
        <v>609</v>
      </c>
      <c r="C668" t="s">
        <v>610</v>
      </c>
      <c r="D668" t="s">
        <v>35</v>
      </c>
      <c r="E668" t="s">
        <v>133</v>
      </c>
      <c r="F668" t="s">
        <v>1700</v>
      </c>
      <c r="G668" t="s">
        <v>133</v>
      </c>
      <c r="H668" t="s">
        <v>133</v>
      </c>
      <c r="M668" t="s">
        <v>137</v>
      </c>
      <c r="O668" t="s">
        <v>161</v>
      </c>
      <c r="S668" t="s">
        <v>1702</v>
      </c>
      <c r="T668" t="s">
        <v>265</v>
      </c>
    </row>
    <row r="669" spans="1:20" x14ac:dyDescent="0.2">
      <c r="A669" t="s">
        <v>611</v>
      </c>
      <c r="B669" t="s">
        <v>612</v>
      </c>
      <c r="C669" t="s">
        <v>613</v>
      </c>
      <c r="D669" t="s">
        <v>35</v>
      </c>
      <c r="E669" t="s">
        <v>133</v>
      </c>
      <c r="F669" t="s">
        <v>1700</v>
      </c>
      <c r="G669" t="s">
        <v>133</v>
      </c>
      <c r="H669" t="s">
        <v>133</v>
      </c>
      <c r="M669" t="s">
        <v>282</v>
      </c>
      <c r="O669" t="s">
        <v>161</v>
      </c>
      <c r="S669" t="s">
        <v>1702</v>
      </c>
      <c r="T669" t="s">
        <v>265</v>
      </c>
    </row>
    <row r="670" spans="1:20" x14ac:dyDescent="0.2">
      <c r="A670" t="s">
        <v>524</v>
      </c>
      <c r="B670" t="s">
        <v>525</v>
      </c>
      <c r="C670" t="s">
        <v>526</v>
      </c>
      <c r="D670" t="s">
        <v>61</v>
      </c>
      <c r="E670" t="s">
        <v>133</v>
      </c>
      <c r="F670" t="s">
        <v>1700</v>
      </c>
      <c r="G670" t="s">
        <v>133</v>
      </c>
      <c r="H670" t="s">
        <v>133</v>
      </c>
      <c r="K670" t="s">
        <v>1015</v>
      </c>
      <c r="M670" t="s">
        <v>137</v>
      </c>
      <c r="O670" t="s">
        <v>161</v>
      </c>
    </row>
    <row r="671" spans="1:20" x14ac:dyDescent="0.2">
      <c r="A671" t="s">
        <v>562</v>
      </c>
      <c r="B671" t="s">
        <v>563</v>
      </c>
      <c r="C671" t="s">
        <v>564</v>
      </c>
      <c r="D671" t="s">
        <v>61</v>
      </c>
      <c r="E671" t="s">
        <v>133</v>
      </c>
      <c r="F671" t="s">
        <v>1700</v>
      </c>
      <c r="G671" t="s">
        <v>133</v>
      </c>
      <c r="H671" t="s">
        <v>133</v>
      </c>
      <c r="K671" t="s">
        <v>1014</v>
      </c>
      <c r="M671" t="s">
        <v>282</v>
      </c>
      <c r="O671" t="s">
        <v>161</v>
      </c>
    </row>
    <row r="672" spans="1:20" x14ac:dyDescent="0.2">
      <c r="A672" t="s">
        <v>1697</v>
      </c>
      <c r="B672" t="s">
        <v>1698</v>
      </c>
      <c r="C672" t="s">
        <v>1699</v>
      </c>
      <c r="D672" t="s">
        <v>35</v>
      </c>
      <c r="E672" t="s">
        <v>505</v>
      </c>
      <c r="F672" t="s">
        <v>1703</v>
      </c>
      <c r="G672" t="s">
        <v>133</v>
      </c>
      <c r="H672" t="s">
        <v>133</v>
      </c>
      <c r="M672" t="s">
        <v>137</v>
      </c>
      <c r="O672" t="s">
        <v>161</v>
      </c>
      <c r="S672" t="s">
        <v>1704</v>
      </c>
      <c r="T672" t="s">
        <v>265</v>
      </c>
    </row>
    <row r="673" spans="1:20" x14ac:dyDescent="0.2">
      <c r="A673" t="s">
        <v>1697</v>
      </c>
      <c r="B673" t="s">
        <v>1698</v>
      </c>
      <c r="C673" t="s">
        <v>1699</v>
      </c>
      <c r="D673" t="s">
        <v>61</v>
      </c>
      <c r="E673" t="s">
        <v>255</v>
      </c>
      <c r="F673" t="s">
        <v>1703</v>
      </c>
      <c r="G673" t="s">
        <v>133</v>
      </c>
      <c r="H673" t="s">
        <v>133</v>
      </c>
      <c r="K673" t="s">
        <v>259</v>
      </c>
      <c r="M673" t="s">
        <v>137</v>
      </c>
      <c r="O673" t="s">
        <v>161</v>
      </c>
    </row>
    <row r="674" spans="1:20" x14ac:dyDescent="0.2">
      <c r="A674" t="s">
        <v>999</v>
      </c>
      <c r="B674" t="s">
        <v>1000</v>
      </c>
      <c r="C674" t="s">
        <v>1001</v>
      </c>
      <c r="D674" t="s">
        <v>35</v>
      </c>
      <c r="E674" t="s">
        <v>505</v>
      </c>
      <c r="F674" t="s">
        <v>1703</v>
      </c>
      <c r="G674" t="s">
        <v>133</v>
      </c>
      <c r="H674" t="s">
        <v>133</v>
      </c>
      <c r="M674" t="s">
        <v>282</v>
      </c>
      <c r="O674" t="s">
        <v>161</v>
      </c>
      <c r="S674" t="s">
        <v>1704</v>
      </c>
      <c r="T674" t="s">
        <v>265</v>
      </c>
    </row>
    <row r="675" spans="1:20" x14ac:dyDescent="0.2">
      <c r="A675" t="s">
        <v>999</v>
      </c>
      <c r="B675" t="s">
        <v>1000</v>
      </c>
      <c r="C675" t="s">
        <v>1001</v>
      </c>
      <c r="D675" t="s">
        <v>61</v>
      </c>
      <c r="E675" t="s">
        <v>255</v>
      </c>
      <c r="F675" t="s">
        <v>1703</v>
      </c>
      <c r="G675" t="s">
        <v>133</v>
      </c>
      <c r="H675" t="s">
        <v>133</v>
      </c>
      <c r="K675" t="s">
        <v>289</v>
      </c>
      <c r="M675" t="s">
        <v>282</v>
      </c>
      <c r="O675" t="s">
        <v>161</v>
      </c>
    </row>
    <row r="676" spans="1:20" x14ac:dyDescent="0.2">
      <c r="A676" t="s">
        <v>1006</v>
      </c>
      <c r="B676" t="s">
        <v>1007</v>
      </c>
      <c r="C676" t="s">
        <v>1008</v>
      </c>
      <c r="D676" t="s">
        <v>35</v>
      </c>
      <c r="E676" t="s">
        <v>505</v>
      </c>
      <c r="F676" t="s">
        <v>1703</v>
      </c>
      <c r="G676" t="s">
        <v>133</v>
      </c>
      <c r="H676" t="s">
        <v>133</v>
      </c>
      <c r="M676" t="s">
        <v>282</v>
      </c>
      <c r="O676" t="s">
        <v>161</v>
      </c>
      <c r="S676" t="s">
        <v>1704</v>
      </c>
      <c r="T676" t="s">
        <v>265</v>
      </c>
    </row>
    <row r="677" spans="1:20" x14ac:dyDescent="0.2">
      <c r="A677" t="s">
        <v>1006</v>
      </c>
      <c r="B677" t="s">
        <v>1007</v>
      </c>
      <c r="C677" t="s">
        <v>1008</v>
      </c>
      <c r="D677" t="s">
        <v>61</v>
      </c>
      <c r="E677" t="s">
        <v>255</v>
      </c>
      <c r="F677" t="s">
        <v>1703</v>
      </c>
      <c r="G677" t="s">
        <v>133</v>
      </c>
      <c r="H677" t="s">
        <v>133</v>
      </c>
      <c r="K677" t="s">
        <v>350</v>
      </c>
      <c r="M677" t="s">
        <v>282</v>
      </c>
      <c r="O677" t="s">
        <v>161</v>
      </c>
    </row>
    <row r="678" spans="1:20" x14ac:dyDescent="0.2">
      <c r="A678" t="s">
        <v>1009</v>
      </c>
      <c r="B678" t="s">
        <v>1010</v>
      </c>
      <c r="C678" t="s">
        <v>1011</v>
      </c>
      <c r="D678" t="s">
        <v>35</v>
      </c>
      <c r="E678" t="s">
        <v>505</v>
      </c>
      <c r="F678" t="s">
        <v>1703</v>
      </c>
      <c r="G678" t="s">
        <v>133</v>
      </c>
      <c r="H678" t="s">
        <v>133</v>
      </c>
      <c r="M678" t="s">
        <v>282</v>
      </c>
      <c r="O678" t="s">
        <v>161</v>
      </c>
      <c r="S678" t="s">
        <v>1704</v>
      </c>
      <c r="T678" t="s">
        <v>265</v>
      </c>
    </row>
    <row r="679" spans="1:20" x14ac:dyDescent="0.2">
      <c r="A679" t="s">
        <v>1009</v>
      </c>
      <c r="B679" t="s">
        <v>1010</v>
      </c>
      <c r="C679" t="s">
        <v>1011</v>
      </c>
      <c r="D679" t="s">
        <v>61</v>
      </c>
      <c r="E679" t="s">
        <v>255</v>
      </c>
      <c r="F679" t="s">
        <v>1703</v>
      </c>
      <c r="G679" t="s">
        <v>133</v>
      </c>
      <c r="H679" t="s">
        <v>133</v>
      </c>
      <c r="K679" t="s">
        <v>305</v>
      </c>
      <c r="M679" t="s">
        <v>282</v>
      </c>
      <c r="O679" t="s">
        <v>161</v>
      </c>
    </row>
    <row r="680" spans="1:20" x14ac:dyDescent="0.2">
      <c r="A680" t="s">
        <v>1012</v>
      </c>
      <c r="B680" t="s">
        <v>1013</v>
      </c>
      <c r="C680" t="s">
        <v>1014</v>
      </c>
      <c r="D680" t="s">
        <v>35</v>
      </c>
      <c r="E680" t="s">
        <v>505</v>
      </c>
      <c r="F680" t="s">
        <v>1703</v>
      </c>
      <c r="G680" t="s">
        <v>133</v>
      </c>
      <c r="H680" t="s">
        <v>133</v>
      </c>
      <c r="M680" t="s">
        <v>282</v>
      </c>
      <c r="O680" t="s">
        <v>161</v>
      </c>
      <c r="S680" t="s">
        <v>1704</v>
      </c>
      <c r="T680" t="s">
        <v>265</v>
      </c>
    </row>
    <row r="681" spans="1:20" x14ac:dyDescent="0.2">
      <c r="A681" t="s">
        <v>1012</v>
      </c>
      <c r="B681" t="s">
        <v>1013</v>
      </c>
      <c r="C681" t="s">
        <v>1014</v>
      </c>
      <c r="D681" t="s">
        <v>61</v>
      </c>
      <c r="E681" t="s">
        <v>255</v>
      </c>
      <c r="F681" t="s">
        <v>1703</v>
      </c>
      <c r="G681" t="s">
        <v>133</v>
      </c>
      <c r="H681" t="s">
        <v>133</v>
      </c>
      <c r="K681" t="s">
        <v>322</v>
      </c>
      <c r="M681" t="s">
        <v>282</v>
      </c>
      <c r="O681" t="s">
        <v>161</v>
      </c>
    </row>
    <row r="682" spans="1:20" x14ac:dyDescent="0.2">
      <c r="A682" t="s">
        <v>574</v>
      </c>
      <c r="B682" t="s">
        <v>575</v>
      </c>
      <c r="C682" t="s">
        <v>576</v>
      </c>
      <c r="D682" t="s">
        <v>35</v>
      </c>
      <c r="E682" t="s">
        <v>133</v>
      </c>
      <c r="F682" t="s">
        <v>1703</v>
      </c>
      <c r="G682" t="s">
        <v>133</v>
      </c>
      <c r="H682" t="s">
        <v>133</v>
      </c>
      <c r="M682" t="s">
        <v>137</v>
      </c>
      <c r="O682" t="s">
        <v>161</v>
      </c>
      <c r="S682" t="s">
        <v>1704</v>
      </c>
      <c r="T682" t="s">
        <v>265</v>
      </c>
    </row>
    <row r="683" spans="1:20" x14ac:dyDescent="0.2">
      <c r="A683" t="s">
        <v>577</v>
      </c>
      <c r="B683" t="s">
        <v>578</v>
      </c>
      <c r="C683" t="s">
        <v>579</v>
      </c>
      <c r="D683" t="s">
        <v>35</v>
      </c>
      <c r="E683" t="s">
        <v>133</v>
      </c>
      <c r="F683" t="s">
        <v>1703</v>
      </c>
      <c r="G683" t="s">
        <v>133</v>
      </c>
      <c r="H683" t="s">
        <v>133</v>
      </c>
      <c r="M683" t="s">
        <v>137</v>
      </c>
      <c r="O683" t="s">
        <v>161</v>
      </c>
      <c r="S683" t="s">
        <v>1704</v>
      </c>
      <c r="T683" t="s">
        <v>265</v>
      </c>
    </row>
    <row r="684" spans="1:20" x14ac:dyDescent="0.2">
      <c r="A684" t="s">
        <v>658</v>
      </c>
      <c r="B684" t="s">
        <v>659</v>
      </c>
      <c r="C684" t="s">
        <v>660</v>
      </c>
      <c r="D684" t="s">
        <v>35</v>
      </c>
      <c r="E684" t="s">
        <v>133</v>
      </c>
      <c r="F684" t="s">
        <v>1703</v>
      </c>
      <c r="G684" t="s">
        <v>133</v>
      </c>
      <c r="H684" t="s">
        <v>133</v>
      </c>
      <c r="M684" t="s">
        <v>282</v>
      </c>
      <c r="O684" t="s">
        <v>161</v>
      </c>
      <c r="S684" t="s">
        <v>1704</v>
      </c>
      <c r="T684" t="s">
        <v>265</v>
      </c>
    </row>
    <row r="685" spans="1:20" x14ac:dyDescent="0.2">
      <c r="A685" t="s">
        <v>661</v>
      </c>
      <c r="B685" t="s">
        <v>662</v>
      </c>
      <c r="C685" t="s">
        <v>663</v>
      </c>
      <c r="D685" t="s">
        <v>24</v>
      </c>
      <c r="E685" t="s">
        <v>133</v>
      </c>
      <c r="F685" t="s">
        <v>1703</v>
      </c>
      <c r="G685" t="s">
        <v>133</v>
      </c>
      <c r="H685" t="s">
        <v>133</v>
      </c>
      <c r="M685" t="s">
        <v>282</v>
      </c>
      <c r="O685" t="s">
        <v>161</v>
      </c>
      <c r="S685" t="s">
        <v>1704</v>
      </c>
      <c r="T685" t="s">
        <v>265</v>
      </c>
    </row>
    <row r="686" spans="1:20" x14ac:dyDescent="0.2">
      <c r="A686" t="s">
        <v>584</v>
      </c>
      <c r="B686" t="s">
        <v>585</v>
      </c>
      <c r="C686" t="s">
        <v>586</v>
      </c>
      <c r="D686" t="s">
        <v>35</v>
      </c>
      <c r="E686" t="s">
        <v>133</v>
      </c>
      <c r="F686" t="s">
        <v>1703</v>
      </c>
      <c r="G686" t="s">
        <v>133</v>
      </c>
      <c r="H686" t="s">
        <v>133</v>
      </c>
      <c r="M686" t="s">
        <v>282</v>
      </c>
      <c r="O686" t="s">
        <v>161</v>
      </c>
      <c r="S686" t="s">
        <v>1704</v>
      </c>
      <c r="T686" t="s">
        <v>265</v>
      </c>
    </row>
    <row r="687" spans="1:20" x14ac:dyDescent="0.2">
      <c r="A687" t="s">
        <v>587</v>
      </c>
      <c r="B687" t="s">
        <v>588</v>
      </c>
      <c r="C687" t="s">
        <v>589</v>
      </c>
      <c r="D687" t="s">
        <v>35</v>
      </c>
      <c r="E687" t="s">
        <v>133</v>
      </c>
      <c r="F687" t="s">
        <v>1703</v>
      </c>
      <c r="G687" t="s">
        <v>133</v>
      </c>
      <c r="H687" t="s">
        <v>133</v>
      </c>
      <c r="M687" t="s">
        <v>282</v>
      </c>
      <c r="O687" t="s">
        <v>161</v>
      </c>
      <c r="S687" t="s">
        <v>1704</v>
      </c>
      <c r="T687" t="s">
        <v>265</v>
      </c>
    </row>
    <row r="688" spans="1:20" x14ac:dyDescent="0.2">
      <c r="A688" t="s">
        <v>63</v>
      </c>
      <c r="B688" t="s">
        <v>64</v>
      </c>
      <c r="C688" t="s">
        <v>65</v>
      </c>
      <c r="D688" t="s">
        <v>24</v>
      </c>
      <c r="E688" t="s">
        <v>133</v>
      </c>
      <c r="F688" t="s">
        <v>1703</v>
      </c>
      <c r="G688" t="s">
        <v>133</v>
      </c>
      <c r="H688" t="s">
        <v>133</v>
      </c>
      <c r="M688" t="s">
        <v>282</v>
      </c>
      <c r="O688" t="s">
        <v>161</v>
      </c>
      <c r="S688" t="s">
        <v>1704</v>
      </c>
      <c r="T688" t="s">
        <v>265</v>
      </c>
    </row>
    <row r="689" spans="1:20" x14ac:dyDescent="0.2">
      <c r="A689" t="s">
        <v>542</v>
      </c>
      <c r="B689" t="s">
        <v>543</v>
      </c>
      <c r="C689" t="s">
        <v>544</v>
      </c>
      <c r="D689" t="s">
        <v>35</v>
      </c>
      <c r="E689" t="s">
        <v>133</v>
      </c>
      <c r="F689" t="s">
        <v>1703</v>
      </c>
      <c r="G689" t="s">
        <v>133</v>
      </c>
      <c r="H689" t="s">
        <v>133</v>
      </c>
      <c r="M689" t="s">
        <v>137</v>
      </c>
      <c r="O689" t="s">
        <v>161</v>
      </c>
      <c r="S689" t="s">
        <v>1704</v>
      </c>
      <c r="T689" t="s">
        <v>265</v>
      </c>
    </row>
    <row r="690" spans="1:20" x14ac:dyDescent="0.2">
      <c r="A690" t="s">
        <v>608</v>
      </c>
      <c r="B690" t="s">
        <v>609</v>
      </c>
      <c r="C690" t="s">
        <v>610</v>
      </c>
      <c r="D690" t="s">
        <v>35</v>
      </c>
      <c r="E690" t="s">
        <v>133</v>
      </c>
      <c r="F690" t="s">
        <v>1703</v>
      </c>
      <c r="G690" t="s">
        <v>133</v>
      </c>
      <c r="H690" t="s">
        <v>133</v>
      </c>
      <c r="M690" t="s">
        <v>137</v>
      </c>
      <c r="O690" t="s">
        <v>161</v>
      </c>
      <c r="S690" t="s">
        <v>1704</v>
      </c>
      <c r="T690" t="s">
        <v>265</v>
      </c>
    </row>
    <row r="691" spans="1:20" x14ac:dyDescent="0.2">
      <c r="A691" t="s">
        <v>611</v>
      </c>
      <c r="B691" t="s">
        <v>612</v>
      </c>
      <c r="C691" t="s">
        <v>613</v>
      </c>
      <c r="D691" t="s">
        <v>35</v>
      </c>
      <c r="E691" t="s">
        <v>133</v>
      </c>
      <c r="F691" t="s">
        <v>1703</v>
      </c>
      <c r="G691" t="s">
        <v>133</v>
      </c>
      <c r="H691" t="s">
        <v>133</v>
      </c>
      <c r="M691" t="s">
        <v>282</v>
      </c>
      <c r="O691" t="s">
        <v>161</v>
      </c>
      <c r="S691" t="s">
        <v>1704</v>
      </c>
      <c r="T691" t="s">
        <v>265</v>
      </c>
    </row>
    <row r="692" spans="1:20" x14ac:dyDescent="0.2">
      <c r="A692" t="s">
        <v>524</v>
      </c>
      <c r="B692" t="s">
        <v>525</v>
      </c>
      <c r="C692" t="s">
        <v>526</v>
      </c>
      <c r="D692" t="s">
        <v>61</v>
      </c>
      <c r="E692" t="s">
        <v>133</v>
      </c>
      <c r="F692" t="s">
        <v>1703</v>
      </c>
      <c r="G692" t="s">
        <v>133</v>
      </c>
      <c r="H692" t="s">
        <v>133</v>
      </c>
      <c r="K692" t="s">
        <v>1015</v>
      </c>
      <c r="M692" t="s">
        <v>137</v>
      </c>
      <c r="O692" t="s">
        <v>161</v>
      </c>
    </row>
    <row r="693" spans="1:20" x14ac:dyDescent="0.2">
      <c r="A693" t="s">
        <v>562</v>
      </c>
      <c r="B693" t="s">
        <v>563</v>
      </c>
      <c r="C693" t="s">
        <v>564</v>
      </c>
      <c r="D693" t="s">
        <v>61</v>
      </c>
      <c r="E693" t="s">
        <v>133</v>
      </c>
      <c r="F693" t="s">
        <v>1703</v>
      </c>
      <c r="G693" t="s">
        <v>133</v>
      </c>
      <c r="H693" t="s">
        <v>133</v>
      </c>
      <c r="K693" t="s">
        <v>1014</v>
      </c>
      <c r="M693" t="s">
        <v>282</v>
      </c>
      <c r="O693" t="s">
        <v>161</v>
      </c>
    </row>
    <row r="694" spans="1:20" x14ac:dyDescent="0.2">
      <c r="A694" t="s">
        <v>1697</v>
      </c>
      <c r="B694" t="s">
        <v>1698</v>
      </c>
      <c r="C694" t="s">
        <v>1699</v>
      </c>
      <c r="D694" t="s">
        <v>35</v>
      </c>
      <c r="E694" t="s">
        <v>505</v>
      </c>
      <c r="F694" t="s">
        <v>1705</v>
      </c>
      <c r="G694" t="s">
        <v>133</v>
      </c>
      <c r="H694" t="s">
        <v>133</v>
      </c>
      <c r="M694" t="s">
        <v>137</v>
      </c>
      <c r="O694" t="s">
        <v>161</v>
      </c>
      <c r="S694" t="s">
        <v>538</v>
      </c>
      <c r="T694" t="s">
        <v>265</v>
      </c>
    </row>
    <row r="695" spans="1:20" x14ac:dyDescent="0.2">
      <c r="A695" t="s">
        <v>1697</v>
      </c>
      <c r="B695" t="s">
        <v>1698</v>
      </c>
      <c r="C695" t="s">
        <v>1699</v>
      </c>
      <c r="D695" t="s">
        <v>61</v>
      </c>
      <c r="E695" t="s">
        <v>255</v>
      </c>
      <c r="F695" t="s">
        <v>1705</v>
      </c>
      <c r="G695" t="s">
        <v>133</v>
      </c>
      <c r="H695" t="s">
        <v>133</v>
      </c>
      <c r="K695" t="s">
        <v>259</v>
      </c>
      <c r="M695" t="s">
        <v>137</v>
      </c>
      <c r="O695" t="s">
        <v>161</v>
      </c>
    </row>
    <row r="696" spans="1:20" x14ac:dyDescent="0.2">
      <c r="A696" t="s">
        <v>999</v>
      </c>
      <c r="B696" t="s">
        <v>1000</v>
      </c>
      <c r="C696" t="s">
        <v>1001</v>
      </c>
      <c r="D696" t="s">
        <v>35</v>
      </c>
      <c r="E696" t="s">
        <v>505</v>
      </c>
      <c r="F696" t="s">
        <v>1705</v>
      </c>
      <c r="G696" t="s">
        <v>133</v>
      </c>
      <c r="H696" t="s">
        <v>133</v>
      </c>
      <c r="M696" t="s">
        <v>282</v>
      </c>
      <c r="O696" t="s">
        <v>161</v>
      </c>
      <c r="S696" t="s">
        <v>615</v>
      </c>
      <c r="T696" t="s">
        <v>265</v>
      </c>
    </row>
    <row r="697" spans="1:20" x14ac:dyDescent="0.2">
      <c r="A697" t="s">
        <v>999</v>
      </c>
      <c r="B697" t="s">
        <v>1000</v>
      </c>
      <c r="C697" t="s">
        <v>1001</v>
      </c>
      <c r="D697" t="s">
        <v>61</v>
      </c>
      <c r="E697" t="s">
        <v>255</v>
      </c>
      <c r="F697" t="s">
        <v>1705</v>
      </c>
      <c r="G697" t="s">
        <v>133</v>
      </c>
      <c r="H697" t="s">
        <v>133</v>
      </c>
      <c r="K697" t="s">
        <v>289</v>
      </c>
      <c r="M697" t="s">
        <v>282</v>
      </c>
      <c r="O697" t="s">
        <v>161</v>
      </c>
    </row>
    <row r="698" spans="1:20" x14ac:dyDescent="0.2">
      <c r="A698" t="s">
        <v>1006</v>
      </c>
      <c r="B698" t="s">
        <v>1007</v>
      </c>
      <c r="C698" t="s">
        <v>1008</v>
      </c>
      <c r="D698" t="s">
        <v>35</v>
      </c>
      <c r="E698" t="s">
        <v>505</v>
      </c>
      <c r="F698" t="s">
        <v>1705</v>
      </c>
      <c r="G698" t="s">
        <v>133</v>
      </c>
      <c r="H698" t="s">
        <v>133</v>
      </c>
      <c r="M698" t="s">
        <v>282</v>
      </c>
      <c r="O698" t="s">
        <v>161</v>
      </c>
      <c r="S698" t="s">
        <v>615</v>
      </c>
      <c r="T698" t="s">
        <v>265</v>
      </c>
    </row>
    <row r="699" spans="1:20" x14ac:dyDescent="0.2">
      <c r="A699" t="s">
        <v>1006</v>
      </c>
      <c r="B699" t="s">
        <v>1007</v>
      </c>
      <c r="C699" t="s">
        <v>1008</v>
      </c>
      <c r="D699" t="s">
        <v>61</v>
      </c>
      <c r="E699" t="s">
        <v>255</v>
      </c>
      <c r="F699" t="s">
        <v>1705</v>
      </c>
      <c r="G699" t="s">
        <v>133</v>
      </c>
      <c r="H699" t="s">
        <v>133</v>
      </c>
      <c r="K699" t="s">
        <v>350</v>
      </c>
      <c r="M699" t="s">
        <v>282</v>
      </c>
      <c r="O699" t="s">
        <v>161</v>
      </c>
    </row>
    <row r="700" spans="1:20" x14ac:dyDescent="0.2">
      <c r="A700" t="s">
        <v>1009</v>
      </c>
      <c r="B700" t="s">
        <v>1010</v>
      </c>
      <c r="C700" t="s">
        <v>1011</v>
      </c>
      <c r="D700" t="s">
        <v>35</v>
      </c>
      <c r="E700" t="s">
        <v>505</v>
      </c>
      <c r="F700" t="s">
        <v>1705</v>
      </c>
      <c r="G700" t="s">
        <v>133</v>
      </c>
      <c r="H700" t="s">
        <v>133</v>
      </c>
      <c r="M700" t="s">
        <v>282</v>
      </c>
      <c r="O700" t="s">
        <v>161</v>
      </c>
      <c r="S700" t="s">
        <v>615</v>
      </c>
      <c r="T700" t="s">
        <v>265</v>
      </c>
    </row>
    <row r="701" spans="1:20" x14ac:dyDescent="0.2">
      <c r="A701" t="s">
        <v>1009</v>
      </c>
      <c r="B701" t="s">
        <v>1010</v>
      </c>
      <c r="C701" t="s">
        <v>1011</v>
      </c>
      <c r="D701" t="s">
        <v>61</v>
      </c>
      <c r="E701" t="s">
        <v>255</v>
      </c>
      <c r="F701" t="s">
        <v>1705</v>
      </c>
      <c r="G701" t="s">
        <v>133</v>
      </c>
      <c r="H701" t="s">
        <v>133</v>
      </c>
      <c r="K701" t="s">
        <v>305</v>
      </c>
      <c r="M701" t="s">
        <v>282</v>
      </c>
      <c r="O701" t="s">
        <v>161</v>
      </c>
    </row>
    <row r="702" spans="1:20" x14ac:dyDescent="0.2">
      <c r="A702" t="s">
        <v>1012</v>
      </c>
      <c r="B702" t="s">
        <v>1013</v>
      </c>
      <c r="C702" t="s">
        <v>1014</v>
      </c>
      <c r="D702" t="s">
        <v>35</v>
      </c>
      <c r="E702" t="s">
        <v>505</v>
      </c>
      <c r="F702" t="s">
        <v>1705</v>
      </c>
      <c r="G702" t="s">
        <v>133</v>
      </c>
      <c r="H702" t="s">
        <v>133</v>
      </c>
      <c r="M702" t="s">
        <v>282</v>
      </c>
      <c r="O702" t="s">
        <v>161</v>
      </c>
      <c r="S702" t="s">
        <v>615</v>
      </c>
      <c r="T702" t="s">
        <v>265</v>
      </c>
    </row>
    <row r="703" spans="1:20" x14ac:dyDescent="0.2">
      <c r="A703" t="s">
        <v>1012</v>
      </c>
      <c r="B703" t="s">
        <v>1013</v>
      </c>
      <c r="C703" t="s">
        <v>1014</v>
      </c>
      <c r="D703" t="s">
        <v>61</v>
      </c>
      <c r="E703" t="s">
        <v>255</v>
      </c>
      <c r="F703" t="s">
        <v>1705</v>
      </c>
      <c r="G703" t="s">
        <v>133</v>
      </c>
      <c r="H703" t="s">
        <v>133</v>
      </c>
      <c r="K703" t="s">
        <v>322</v>
      </c>
      <c r="M703" t="s">
        <v>282</v>
      </c>
      <c r="O703" t="s">
        <v>161</v>
      </c>
    </row>
    <row r="704" spans="1:20" x14ac:dyDescent="0.2">
      <c r="A704" t="s">
        <v>574</v>
      </c>
      <c r="B704" t="s">
        <v>575</v>
      </c>
      <c r="C704" t="s">
        <v>576</v>
      </c>
      <c r="D704" t="s">
        <v>35</v>
      </c>
      <c r="E704" t="s">
        <v>133</v>
      </c>
      <c r="F704" t="s">
        <v>1705</v>
      </c>
      <c r="G704" t="s">
        <v>133</v>
      </c>
      <c r="H704" t="s">
        <v>133</v>
      </c>
      <c r="M704" t="s">
        <v>137</v>
      </c>
      <c r="O704" t="s">
        <v>161</v>
      </c>
      <c r="S704" t="s">
        <v>615</v>
      </c>
      <c r="T704" t="s">
        <v>265</v>
      </c>
    </row>
    <row r="705" spans="1:20" x14ac:dyDescent="0.2">
      <c r="A705" t="s">
        <v>577</v>
      </c>
      <c r="B705" t="s">
        <v>578</v>
      </c>
      <c r="C705" t="s">
        <v>579</v>
      </c>
      <c r="D705" t="s">
        <v>35</v>
      </c>
      <c r="E705" t="s">
        <v>133</v>
      </c>
      <c r="F705" t="s">
        <v>1705</v>
      </c>
      <c r="G705" t="s">
        <v>133</v>
      </c>
      <c r="H705" t="s">
        <v>133</v>
      </c>
      <c r="M705" t="s">
        <v>137</v>
      </c>
      <c r="O705" t="s">
        <v>161</v>
      </c>
      <c r="S705" t="s">
        <v>615</v>
      </c>
      <c r="T705" t="s">
        <v>265</v>
      </c>
    </row>
    <row r="706" spans="1:20" x14ac:dyDescent="0.2">
      <c r="A706" t="s">
        <v>658</v>
      </c>
      <c r="B706" t="s">
        <v>659</v>
      </c>
      <c r="C706" t="s">
        <v>660</v>
      </c>
      <c r="D706" t="s">
        <v>35</v>
      </c>
      <c r="E706" t="s">
        <v>133</v>
      </c>
      <c r="F706" t="s">
        <v>1705</v>
      </c>
      <c r="G706" t="s">
        <v>133</v>
      </c>
      <c r="H706" t="s">
        <v>133</v>
      </c>
      <c r="M706" t="s">
        <v>282</v>
      </c>
      <c r="O706" t="s">
        <v>161</v>
      </c>
      <c r="S706" t="s">
        <v>615</v>
      </c>
      <c r="T706" t="s">
        <v>265</v>
      </c>
    </row>
    <row r="707" spans="1:20" x14ac:dyDescent="0.2">
      <c r="A707" t="s">
        <v>661</v>
      </c>
      <c r="B707" t="s">
        <v>662</v>
      </c>
      <c r="C707" t="s">
        <v>663</v>
      </c>
      <c r="D707" t="s">
        <v>24</v>
      </c>
      <c r="E707" t="s">
        <v>133</v>
      </c>
      <c r="F707" t="s">
        <v>1705</v>
      </c>
      <c r="G707" t="s">
        <v>133</v>
      </c>
      <c r="H707" t="s">
        <v>133</v>
      </c>
      <c r="M707" t="s">
        <v>282</v>
      </c>
      <c r="O707" t="s">
        <v>161</v>
      </c>
      <c r="S707" t="s">
        <v>615</v>
      </c>
      <c r="T707" t="s">
        <v>265</v>
      </c>
    </row>
    <row r="708" spans="1:20" x14ac:dyDescent="0.2">
      <c r="A708" t="s">
        <v>584</v>
      </c>
      <c r="B708" t="s">
        <v>585</v>
      </c>
      <c r="C708" t="s">
        <v>586</v>
      </c>
      <c r="D708" t="s">
        <v>35</v>
      </c>
      <c r="E708" t="s">
        <v>133</v>
      </c>
      <c r="F708" t="s">
        <v>1705</v>
      </c>
      <c r="G708" t="s">
        <v>133</v>
      </c>
      <c r="H708" t="s">
        <v>133</v>
      </c>
      <c r="M708" t="s">
        <v>282</v>
      </c>
      <c r="O708" t="s">
        <v>161</v>
      </c>
      <c r="S708" t="s">
        <v>615</v>
      </c>
      <c r="T708" t="s">
        <v>265</v>
      </c>
    </row>
    <row r="709" spans="1:20" x14ac:dyDescent="0.2">
      <c r="A709" t="s">
        <v>587</v>
      </c>
      <c r="B709" t="s">
        <v>588</v>
      </c>
      <c r="C709" t="s">
        <v>589</v>
      </c>
      <c r="D709" t="s">
        <v>35</v>
      </c>
      <c r="E709" t="s">
        <v>133</v>
      </c>
      <c r="F709" t="s">
        <v>1705</v>
      </c>
      <c r="G709" t="s">
        <v>133</v>
      </c>
      <c r="H709" t="s">
        <v>133</v>
      </c>
      <c r="M709" t="s">
        <v>282</v>
      </c>
      <c r="O709" t="s">
        <v>161</v>
      </c>
      <c r="S709" t="s">
        <v>615</v>
      </c>
      <c r="T709" t="s">
        <v>265</v>
      </c>
    </row>
    <row r="710" spans="1:20" x14ac:dyDescent="0.2">
      <c r="A710" t="s">
        <v>63</v>
      </c>
      <c r="B710" t="s">
        <v>64</v>
      </c>
      <c r="C710" t="s">
        <v>65</v>
      </c>
      <c r="D710" t="s">
        <v>24</v>
      </c>
      <c r="E710" t="s">
        <v>133</v>
      </c>
      <c r="F710" t="s">
        <v>1705</v>
      </c>
      <c r="G710" t="s">
        <v>133</v>
      </c>
      <c r="H710" t="s">
        <v>133</v>
      </c>
      <c r="M710" t="s">
        <v>282</v>
      </c>
      <c r="O710" t="s">
        <v>161</v>
      </c>
      <c r="S710" t="s">
        <v>538</v>
      </c>
      <c r="T710" t="s">
        <v>265</v>
      </c>
    </row>
    <row r="711" spans="1:20" x14ac:dyDescent="0.2">
      <c r="A711" t="s">
        <v>542</v>
      </c>
      <c r="B711" t="s">
        <v>543</v>
      </c>
      <c r="C711" t="s">
        <v>544</v>
      </c>
      <c r="D711" t="s">
        <v>35</v>
      </c>
      <c r="E711" t="s">
        <v>133</v>
      </c>
      <c r="F711" t="s">
        <v>665</v>
      </c>
      <c r="G711" t="s">
        <v>133</v>
      </c>
      <c r="H711" t="s">
        <v>133</v>
      </c>
      <c r="M711" t="s">
        <v>137</v>
      </c>
      <c r="O711" t="s">
        <v>161</v>
      </c>
      <c r="S711" t="s">
        <v>538</v>
      </c>
      <c r="T711" t="s">
        <v>265</v>
      </c>
    </row>
    <row r="712" spans="1:20" x14ac:dyDescent="0.2">
      <c r="A712" t="s">
        <v>608</v>
      </c>
      <c r="B712" t="s">
        <v>609</v>
      </c>
      <c r="C712" t="s">
        <v>610</v>
      </c>
      <c r="D712" t="s">
        <v>35</v>
      </c>
      <c r="E712" t="s">
        <v>133</v>
      </c>
      <c r="F712" t="s">
        <v>1705</v>
      </c>
      <c r="G712" t="s">
        <v>133</v>
      </c>
      <c r="H712" t="s">
        <v>133</v>
      </c>
      <c r="M712" t="s">
        <v>137</v>
      </c>
      <c r="O712" t="s">
        <v>161</v>
      </c>
      <c r="S712" t="s">
        <v>615</v>
      </c>
      <c r="T712" t="s">
        <v>265</v>
      </c>
    </row>
    <row r="713" spans="1:20" x14ac:dyDescent="0.2">
      <c r="A713" t="s">
        <v>611</v>
      </c>
      <c r="B713" t="s">
        <v>612</v>
      </c>
      <c r="C713" t="s">
        <v>613</v>
      </c>
      <c r="D713" t="s">
        <v>35</v>
      </c>
      <c r="E713" t="s">
        <v>133</v>
      </c>
      <c r="F713" t="s">
        <v>1705</v>
      </c>
      <c r="G713" t="s">
        <v>133</v>
      </c>
      <c r="H713" t="s">
        <v>133</v>
      </c>
      <c r="M713" t="s">
        <v>282</v>
      </c>
      <c r="O713" t="s">
        <v>161</v>
      </c>
      <c r="S713" t="s">
        <v>615</v>
      </c>
      <c r="T713" t="s">
        <v>265</v>
      </c>
    </row>
    <row r="714" spans="1:20" x14ac:dyDescent="0.2">
      <c r="A714" t="s">
        <v>524</v>
      </c>
      <c r="B714" t="s">
        <v>525</v>
      </c>
      <c r="C714" t="s">
        <v>526</v>
      </c>
      <c r="D714" t="s">
        <v>61</v>
      </c>
      <c r="E714" t="s">
        <v>133</v>
      </c>
      <c r="F714" t="s">
        <v>1705</v>
      </c>
      <c r="G714" t="s">
        <v>133</v>
      </c>
      <c r="H714" t="s">
        <v>133</v>
      </c>
      <c r="K714" t="s">
        <v>1015</v>
      </c>
      <c r="M714" t="s">
        <v>137</v>
      </c>
      <c r="O714" t="s">
        <v>161</v>
      </c>
    </row>
    <row r="715" spans="1:20" x14ac:dyDescent="0.2">
      <c r="A715" t="s">
        <v>546</v>
      </c>
      <c r="B715" t="s">
        <v>547</v>
      </c>
      <c r="C715" t="s">
        <v>548</v>
      </c>
      <c r="D715" t="s">
        <v>61</v>
      </c>
      <c r="E715" t="s">
        <v>133</v>
      </c>
      <c r="F715" t="s">
        <v>1705</v>
      </c>
      <c r="G715" t="s">
        <v>133</v>
      </c>
      <c r="H715" t="s">
        <v>133</v>
      </c>
      <c r="K715" t="s">
        <v>1011</v>
      </c>
      <c r="M715" t="s">
        <v>282</v>
      </c>
      <c r="O715" t="s">
        <v>161</v>
      </c>
    </row>
    <row r="716" spans="1:20" x14ac:dyDescent="0.2">
      <c r="A716" t="s">
        <v>562</v>
      </c>
      <c r="B716" t="s">
        <v>563</v>
      </c>
      <c r="C716" t="s">
        <v>564</v>
      </c>
      <c r="D716" t="s">
        <v>61</v>
      </c>
      <c r="E716" t="s">
        <v>133</v>
      </c>
      <c r="F716" t="s">
        <v>1705</v>
      </c>
      <c r="G716" t="s">
        <v>133</v>
      </c>
      <c r="H716" t="s">
        <v>133</v>
      </c>
      <c r="K716" t="s">
        <v>1014</v>
      </c>
      <c r="M716" t="s">
        <v>282</v>
      </c>
      <c r="O716" t="s">
        <v>161</v>
      </c>
    </row>
    <row r="717" spans="1:20" x14ac:dyDescent="0.2">
      <c r="A717" t="s">
        <v>1697</v>
      </c>
      <c r="B717" t="s">
        <v>1698</v>
      </c>
      <c r="C717" t="s">
        <v>1699</v>
      </c>
      <c r="D717" t="s">
        <v>35</v>
      </c>
      <c r="E717" t="s">
        <v>505</v>
      </c>
      <c r="F717" t="s">
        <v>510</v>
      </c>
      <c r="G717" t="s">
        <v>1706</v>
      </c>
      <c r="H717" t="s">
        <v>133</v>
      </c>
      <c r="M717" t="s">
        <v>137</v>
      </c>
      <c r="O717" t="s">
        <v>161</v>
      </c>
      <c r="S717" t="s">
        <v>538</v>
      </c>
      <c r="T717" t="s">
        <v>265</v>
      </c>
    </row>
    <row r="718" spans="1:20" x14ac:dyDescent="0.2">
      <c r="A718" t="s">
        <v>1697</v>
      </c>
      <c r="B718" t="s">
        <v>1698</v>
      </c>
      <c r="C718" t="s">
        <v>1699</v>
      </c>
      <c r="D718" t="s">
        <v>61</v>
      </c>
      <c r="E718" t="s">
        <v>255</v>
      </c>
      <c r="F718" t="s">
        <v>510</v>
      </c>
      <c r="G718" t="s">
        <v>1706</v>
      </c>
      <c r="H718" t="s">
        <v>133</v>
      </c>
      <c r="K718" t="s">
        <v>259</v>
      </c>
      <c r="M718" t="s">
        <v>137</v>
      </c>
      <c r="O718" t="s">
        <v>161</v>
      </c>
    </row>
    <row r="719" spans="1:20" x14ac:dyDescent="0.2">
      <c r="A719" t="s">
        <v>1697</v>
      </c>
      <c r="B719" t="s">
        <v>1698</v>
      </c>
      <c r="C719" t="s">
        <v>1699</v>
      </c>
      <c r="D719" t="s">
        <v>35</v>
      </c>
      <c r="E719" t="s">
        <v>505</v>
      </c>
      <c r="F719" t="s">
        <v>606</v>
      </c>
      <c r="G719" t="s">
        <v>1706</v>
      </c>
      <c r="H719" t="s">
        <v>133</v>
      </c>
      <c r="M719" t="s">
        <v>137</v>
      </c>
      <c r="O719" t="s">
        <v>161</v>
      </c>
      <c r="S719" t="s">
        <v>538</v>
      </c>
      <c r="T719" t="s">
        <v>265</v>
      </c>
    </row>
    <row r="720" spans="1:20" x14ac:dyDescent="0.2">
      <c r="A720" t="s">
        <v>1697</v>
      </c>
      <c r="B720" t="s">
        <v>1698</v>
      </c>
      <c r="C720" t="s">
        <v>1699</v>
      </c>
      <c r="D720" t="s">
        <v>61</v>
      </c>
      <c r="E720" t="s">
        <v>255</v>
      </c>
      <c r="F720" t="s">
        <v>606</v>
      </c>
      <c r="G720" t="s">
        <v>1706</v>
      </c>
      <c r="H720" t="s">
        <v>133</v>
      </c>
      <c r="K720" t="s">
        <v>259</v>
      </c>
      <c r="M720" t="s">
        <v>137</v>
      </c>
      <c r="O720" t="s">
        <v>161</v>
      </c>
    </row>
    <row r="721" spans="1:20" x14ac:dyDescent="0.2">
      <c r="A721" t="s">
        <v>1697</v>
      </c>
      <c r="B721" t="s">
        <v>1698</v>
      </c>
      <c r="C721" t="s">
        <v>1699</v>
      </c>
      <c r="D721" t="s">
        <v>35</v>
      </c>
      <c r="E721" t="s">
        <v>505</v>
      </c>
      <c r="F721" t="s">
        <v>997</v>
      </c>
      <c r="G721" t="s">
        <v>1706</v>
      </c>
      <c r="H721" t="s">
        <v>133</v>
      </c>
      <c r="M721" t="s">
        <v>137</v>
      </c>
      <c r="O721" t="s">
        <v>161</v>
      </c>
      <c r="S721" t="s">
        <v>998</v>
      </c>
      <c r="T721" t="s">
        <v>265</v>
      </c>
    </row>
    <row r="722" spans="1:20" x14ac:dyDescent="0.2">
      <c r="A722" t="s">
        <v>1697</v>
      </c>
      <c r="B722" t="s">
        <v>1698</v>
      </c>
      <c r="C722" t="s">
        <v>1699</v>
      </c>
      <c r="D722" t="s">
        <v>61</v>
      </c>
      <c r="E722" t="s">
        <v>255</v>
      </c>
      <c r="F722" t="s">
        <v>997</v>
      </c>
      <c r="G722" t="s">
        <v>1706</v>
      </c>
      <c r="H722" t="s">
        <v>133</v>
      </c>
      <c r="K722" t="s">
        <v>259</v>
      </c>
      <c r="M722" t="s">
        <v>137</v>
      </c>
      <c r="O722" t="s">
        <v>161</v>
      </c>
    </row>
    <row r="723" spans="1:20" x14ac:dyDescent="0.2">
      <c r="A723" t="s">
        <v>1697</v>
      </c>
      <c r="B723" t="s">
        <v>1698</v>
      </c>
      <c r="C723" t="s">
        <v>1699</v>
      </c>
      <c r="D723" t="s">
        <v>35</v>
      </c>
      <c r="E723" t="s">
        <v>505</v>
      </c>
      <c r="F723" t="s">
        <v>614</v>
      </c>
      <c r="G723" t="s">
        <v>1706</v>
      </c>
      <c r="H723" t="s">
        <v>133</v>
      </c>
      <c r="M723" t="s">
        <v>137</v>
      </c>
      <c r="O723" t="s">
        <v>161</v>
      </c>
      <c r="S723" t="s">
        <v>538</v>
      </c>
      <c r="T723" t="s">
        <v>265</v>
      </c>
    </row>
    <row r="724" spans="1:20" x14ac:dyDescent="0.2">
      <c r="A724" t="s">
        <v>1697</v>
      </c>
      <c r="B724" t="s">
        <v>1698</v>
      </c>
      <c r="C724" t="s">
        <v>1699</v>
      </c>
      <c r="D724" t="s">
        <v>61</v>
      </c>
      <c r="E724" t="s">
        <v>255</v>
      </c>
      <c r="F724" t="s">
        <v>614</v>
      </c>
      <c r="G724" t="s">
        <v>1706</v>
      </c>
      <c r="H724" t="s">
        <v>133</v>
      </c>
      <c r="K724" t="s">
        <v>259</v>
      </c>
      <c r="M724" t="s">
        <v>137</v>
      </c>
      <c r="O724" t="s">
        <v>161</v>
      </c>
    </row>
    <row r="725" spans="1:20" x14ac:dyDescent="0.2">
      <c r="A725" t="s">
        <v>1707</v>
      </c>
      <c r="B725" t="s">
        <v>1708</v>
      </c>
      <c r="C725" t="s">
        <v>1709</v>
      </c>
      <c r="D725" t="s">
        <v>61</v>
      </c>
      <c r="E725" t="s">
        <v>133</v>
      </c>
      <c r="F725" t="s">
        <v>510</v>
      </c>
      <c r="G725" t="s">
        <v>133</v>
      </c>
      <c r="H725" t="s">
        <v>133</v>
      </c>
      <c r="K725" t="s">
        <v>1710</v>
      </c>
      <c r="M725" t="s">
        <v>137</v>
      </c>
      <c r="O725" t="s">
        <v>161</v>
      </c>
    </row>
    <row r="726" spans="1:20" x14ac:dyDescent="0.2">
      <c r="A726" t="s">
        <v>1707</v>
      </c>
      <c r="B726" t="s">
        <v>1708</v>
      </c>
      <c r="C726" t="s">
        <v>1709</v>
      </c>
      <c r="D726" t="s">
        <v>61</v>
      </c>
      <c r="E726" t="s">
        <v>133</v>
      </c>
      <c r="F726" t="s">
        <v>606</v>
      </c>
      <c r="G726" t="s">
        <v>133</v>
      </c>
      <c r="H726" t="s">
        <v>133</v>
      </c>
      <c r="K726" t="s">
        <v>1710</v>
      </c>
      <c r="M726" t="s">
        <v>137</v>
      </c>
      <c r="O726" t="s">
        <v>161</v>
      </c>
    </row>
    <row r="727" spans="1:20" x14ac:dyDescent="0.2">
      <c r="A727" t="s">
        <v>1707</v>
      </c>
      <c r="B727" t="s">
        <v>1708</v>
      </c>
      <c r="C727" t="s">
        <v>1709</v>
      </c>
      <c r="D727" t="s">
        <v>61</v>
      </c>
      <c r="E727" t="s">
        <v>133</v>
      </c>
      <c r="F727" t="s">
        <v>614</v>
      </c>
      <c r="G727" t="s">
        <v>133</v>
      </c>
      <c r="H727" t="s">
        <v>133</v>
      </c>
      <c r="K727" t="s">
        <v>1710</v>
      </c>
      <c r="M727" t="s">
        <v>137</v>
      </c>
      <c r="O727" t="s">
        <v>161</v>
      </c>
    </row>
    <row r="728" spans="1:20" x14ac:dyDescent="0.2">
      <c r="A728" t="s">
        <v>1707</v>
      </c>
      <c r="B728" t="s">
        <v>1708</v>
      </c>
      <c r="C728" t="s">
        <v>1709</v>
      </c>
      <c r="D728" t="s">
        <v>61</v>
      </c>
      <c r="E728" t="s">
        <v>133</v>
      </c>
      <c r="F728" t="s">
        <v>997</v>
      </c>
      <c r="G728" t="s">
        <v>133</v>
      </c>
      <c r="H728" t="s">
        <v>133</v>
      </c>
      <c r="K728" t="s">
        <v>1710</v>
      </c>
      <c r="M728" t="s">
        <v>137</v>
      </c>
      <c r="O728" t="s">
        <v>161</v>
      </c>
    </row>
    <row r="729" spans="1:20" x14ac:dyDescent="0.2">
      <c r="A729" t="s">
        <v>1711</v>
      </c>
      <c r="B729" t="s">
        <v>1712</v>
      </c>
      <c r="C729" t="s">
        <v>1713</v>
      </c>
      <c r="D729" t="s">
        <v>61</v>
      </c>
      <c r="E729" t="s">
        <v>133</v>
      </c>
      <c r="F729" t="s">
        <v>133</v>
      </c>
      <c r="G729" t="s">
        <v>133</v>
      </c>
      <c r="H729" t="s">
        <v>133</v>
      </c>
      <c r="K729" t="s">
        <v>1714</v>
      </c>
      <c r="M729" t="s">
        <v>137</v>
      </c>
      <c r="O729" t="s">
        <v>161</v>
      </c>
    </row>
    <row r="730" spans="1:20" x14ac:dyDescent="0.2">
      <c r="A730" t="s">
        <v>29</v>
      </c>
      <c r="B730" t="s">
        <v>30</v>
      </c>
      <c r="C730" t="s">
        <v>1715</v>
      </c>
      <c r="D730" t="s">
        <v>24</v>
      </c>
      <c r="E730" t="s">
        <v>133</v>
      </c>
      <c r="F730" t="s">
        <v>665</v>
      </c>
      <c r="G730" t="s">
        <v>1716</v>
      </c>
      <c r="H730" t="s">
        <v>133</v>
      </c>
      <c r="O730" t="s">
        <v>161</v>
      </c>
      <c r="P730">
        <v>4.2000104200020396E+62</v>
      </c>
      <c r="S730" t="s">
        <v>615</v>
      </c>
      <c r="T730" t="s">
        <v>265</v>
      </c>
    </row>
    <row r="731" spans="1:20" x14ac:dyDescent="0.2">
      <c r="A731" t="s">
        <v>29</v>
      </c>
      <c r="B731" t="s">
        <v>30</v>
      </c>
      <c r="C731" t="s">
        <v>1715</v>
      </c>
      <c r="D731" t="s">
        <v>24</v>
      </c>
      <c r="E731" t="s">
        <v>133</v>
      </c>
      <c r="F731" t="s">
        <v>997</v>
      </c>
      <c r="G731" t="s">
        <v>1716</v>
      </c>
      <c r="H731" t="s">
        <v>133</v>
      </c>
      <c r="O731" t="s">
        <v>161</v>
      </c>
      <c r="P731">
        <v>4.2000104200020396E+62</v>
      </c>
      <c r="S731" t="s">
        <v>998</v>
      </c>
      <c r="T731" t="s">
        <v>265</v>
      </c>
    </row>
    <row r="732" spans="1:20" x14ac:dyDescent="0.2">
      <c r="A732" t="s">
        <v>22</v>
      </c>
      <c r="B732" t="s">
        <v>23</v>
      </c>
      <c r="C732" t="s">
        <v>20</v>
      </c>
      <c r="D732" t="s">
        <v>24</v>
      </c>
      <c r="E732" t="s">
        <v>133</v>
      </c>
      <c r="F732" t="s">
        <v>1717</v>
      </c>
      <c r="G732" t="s">
        <v>1718</v>
      </c>
      <c r="M732" t="s">
        <v>137</v>
      </c>
      <c r="O732" t="s">
        <v>161</v>
      </c>
      <c r="S732" t="s">
        <v>538</v>
      </c>
      <c r="T732" t="s">
        <v>265</v>
      </c>
    </row>
    <row r="733" spans="1:20" x14ac:dyDescent="0.2">
      <c r="A733" t="s">
        <v>76</v>
      </c>
      <c r="B733" t="s">
        <v>77</v>
      </c>
      <c r="C733" t="s">
        <v>78</v>
      </c>
      <c r="D733" t="s">
        <v>24</v>
      </c>
      <c r="E733" t="s">
        <v>133</v>
      </c>
      <c r="F733" t="s">
        <v>510</v>
      </c>
      <c r="G733" t="s">
        <v>1719</v>
      </c>
      <c r="M733" t="s">
        <v>137</v>
      </c>
      <c r="O733" t="s">
        <v>150</v>
      </c>
      <c r="S733" t="s">
        <v>538</v>
      </c>
      <c r="T733" t="s">
        <v>265</v>
      </c>
    </row>
    <row r="734" spans="1:20" x14ac:dyDescent="0.2">
      <c r="A734" t="s">
        <v>76</v>
      </c>
      <c r="B734" t="s">
        <v>77</v>
      </c>
      <c r="C734" t="s">
        <v>78</v>
      </c>
      <c r="D734" t="s">
        <v>24</v>
      </c>
      <c r="E734" t="s">
        <v>133</v>
      </c>
      <c r="F734" t="s">
        <v>606</v>
      </c>
      <c r="G734" t="s">
        <v>1719</v>
      </c>
      <c r="M734" t="s">
        <v>137</v>
      </c>
      <c r="O734" t="s">
        <v>150</v>
      </c>
      <c r="S734" t="s">
        <v>538</v>
      </c>
      <c r="T734" t="s">
        <v>265</v>
      </c>
    </row>
    <row r="735" spans="1:20" x14ac:dyDescent="0.2">
      <c r="A735" t="s">
        <v>76</v>
      </c>
      <c r="B735" t="s">
        <v>77</v>
      </c>
      <c r="C735" t="s">
        <v>78</v>
      </c>
      <c r="D735" t="s">
        <v>24</v>
      </c>
      <c r="E735" t="s">
        <v>133</v>
      </c>
      <c r="F735" t="s">
        <v>1720</v>
      </c>
      <c r="G735" t="s">
        <v>1719</v>
      </c>
      <c r="M735" t="s">
        <v>137</v>
      </c>
      <c r="O735" t="s">
        <v>150</v>
      </c>
      <c r="S735" t="s">
        <v>538</v>
      </c>
      <c r="T735" t="s">
        <v>265</v>
      </c>
    </row>
    <row r="736" spans="1:20" x14ac:dyDescent="0.2">
      <c r="A736" t="s">
        <v>76</v>
      </c>
      <c r="B736" t="s">
        <v>77</v>
      </c>
      <c r="C736" t="s">
        <v>78</v>
      </c>
      <c r="D736" t="s">
        <v>24</v>
      </c>
      <c r="E736" t="s">
        <v>133</v>
      </c>
      <c r="F736" t="s">
        <v>997</v>
      </c>
      <c r="G736" t="s">
        <v>1719</v>
      </c>
      <c r="M736" t="s">
        <v>137</v>
      </c>
      <c r="O736" t="s">
        <v>150</v>
      </c>
      <c r="S736" t="s">
        <v>998</v>
      </c>
      <c r="T736" t="s">
        <v>265</v>
      </c>
    </row>
    <row r="737" spans="1:15" x14ac:dyDescent="0.2">
      <c r="A737" t="s">
        <v>1721</v>
      </c>
      <c r="B737" t="s">
        <v>1722</v>
      </c>
      <c r="C737" t="s">
        <v>1723</v>
      </c>
      <c r="D737" t="s">
        <v>14</v>
      </c>
      <c r="E737" t="s">
        <v>133</v>
      </c>
      <c r="F737" t="s">
        <v>133</v>
      </c>
      <c r="G737" t="s">
        <v>133</v>
      </c>
      <c r="K737" t="s">
        <v>1724</v>
      </c>
      <c r="M737" t="s">
        <v>137</v>
      </c>
      <c r="O737" t="s">
        <v>161</v>
      </c>
    </row>
    <row r="738" spans="1:15" x14ac:dyDescent="0.2">
      <c r="A738" t="s">
        <v>47</v>
      </c>
      <c r="B738" t="s">
        <v>48</v>
      </c>
      <c r="C738" t="s">
        <v>49</v>
      </c>
      <c r="D738" t="s">
        <v>14</v>
      </c>
      <c r="E738" t="s">
        <v>133</v>
      </c>
      <c r="F738" t="s">
        <v>133</v>
      </c>
      <c r="G738" t="s">
        <v>133</v>
      </c>
      <c r="K738" t="s">
        <v>50</v>
      </c>
      <c r="O738" t="s">
        <v>161</v>
      </c>
    </row>
    <row r="739" spans="1:15" x14ac:dyDescent="0.2">
      <c r="A739" t="s">
        <v>1725</v>
      </c>
      <c r="B739" t="s">
        <v>1726</v>
      </c>
      <c r="C739" t="s">
        <v>1727</v>
      </c>
      <c r="D739" t="s">
        <v>14</v>
      </c>
      <c r="E739" t="s">
        <v>133</v>
      </c>
      <c r="F739" t="s">
        <v>133</v>
      </c>
      <c r="G739" t="s">
        <v>1728</v>
      </c>
      <c r="K739" t="s">
        <v>1729</v>
      </c>
      <c r="O739" t="s">
        <v>161</v>
      </c>
    </row>
    <row r="740" spans="1:15" x14ac:dyDescent="0.2">
      <c r="A740" t="s">
        <v>93</v>
      </c>
      <c r="B740" t="s">
        <v>94</v>
      </c>
      <c r="C740" t="s">
        <v>95</v>
      </c>
      <c r="D740" t="s">
        <v>14</v>
      </c>
      <c r="E740" t="s">
        <v>133</v>
      </c>
      <c r="F740" t="s">
        <v>133</v>
      </c>
      <c r="G740" t="s">
        <v>133</v>
      </c>
      <c r="K740" t="s">
        <v>96</v>
      </c>
      <c r="O740" t="s">
        <v>150</v>
      </c>
    </row>
    <row r="741" spans="1:15" x14ac:dyDescent="0.2">
      <c r="A741" t="s">
        <v>97</v>
      </c>
      <c r="B741" t="s">
        <v>98</v>
      </c>
      <c r="C741" t="s">
        <v>99</v>
      </c>
      <c r="D741" t="s">
        <v>14</v>
      </c>
      <c r="E741" t="s">
        <v>133</v>
      </c>
      <c r="F741" t="s">
        <v>133</v>
      </c>
      <c r="G741" t="s">
        <v>133</v>
      </c>
      <c r="K741" t="s">
        <v>100</v>
      </c>
      <c r="O741" t="s">
        <v>150</v>
      </c>
    </row>
    <row r="742" spans="1:15" x14ac:dyDescent="0.2">
      <c r="A742" t="s">
        <v>104</v>
      </c>
      <c r="B742" t="s">
        <v>105</v>
      </c>
      <c r="C742" t="s">
        <v>106</v>
      </c>
      <c r="D742" t="s">
        <v>14</v>
      </c>
      <c r="E742" t="s">
        <v>133</v>
      </c>
      <c r="F742" t="s">
        <v>133</v>
      </c>
      <c r="G742" t="s">
        <v>133</v>
      </c>
      <c r="K742" t="s">
        <v>107</v>
      </c>
      <c r="O742" t="s">
        <v>150</v>
      </c>
    </row>
    <row r="743" spans="1:15" x14ac:dyDescent="0.2">
      <c r="A743" t="s">
        <v>83</v>
      </c>
      <c r="B743" t="s">
        <v>84</v>
      </c>
      <c r="C743" t="s">
        <v>85</v>
      </c>
      <c r="D743" t="s">
        <v>14</v>
      </c>
      <c r="E743" t="s">
        <v>133</v>
      </c>
      <c r="F743" t="s">
        <v>133</v>
      </c>
      <c r="G743" t="s">
        <v>133</v>
      </c>
      <c r="K743" t="s">
        <v>86</v>
      </c>
      <c r="O743" t="s">
        <v>150</v>
      </c>
    </row>
    <row r="744" spans="1:15" x14ac:dyDescent="0.2">
      <c r="A744" t="s">
        <v>79</v>
      </c>
      <c r="B744" t="s">
        <v>80</v>
      </c>
      <c r="C744" t="s">
        <v>81</v>
      </c>
      <c r="D744" t="s">
        <v>14</v>
      </c>
      <c r="E744" t="s">
        <v>133</v>
      </c>
      <c r="F744" t="s">
        <v>133</v>
      </c>
      <c r="G744" t="s">
        <v>133</v>
      </c>
      <c r="K744" t="s">
        <v>82</v>
      </c>
      <c r="O744" t="s">
        <v>150</v>
      </c>
    </row>
    <row r="745" spans="1:15" x14ac:dyDescent="0.2">
      <c r="A745" t="s">
        <v>54</v>
      </c>
      <c r="B745" t="s">
        <v>55</v>
      </c>
      <c r="C745" t="s">
        <v>56</v>
      </c>
      <c r="D745" t="s">
        <v>14</v>
      </c>
      <c r="E745" t="s">
        <v>133</v>
      </c>
      <c r="F745" t="s">
        <v>133</v>
      </c>
      <c r="G745" t="s">
        <v>133</v>
      </c>
      <c r="K745" t="s">
        <v>57</v>
      </c>
      <c r="L745" t="s">
        <v>135</v>
      </c>
      <c r="O745" t="s">
        <v>161</v>
      </c>
    </row>
    <row r="746" spans="1:15" x14ac:dyDescent="0.2">
      <c r="A746" t="s">
        <v>43</v>
      </c>
      <c r="B746" t="s">
        <v>44</v>
      </c>
      <c r="C746" t="s">
        <v>45</v>
      </c>
      <c r="D746" t="s">
        <v>14</v>
      </c>
      <c r="E746" t="s">
        <v>133</v>
      </c>
      <c r="F746" t="s">
        <v>133</v>
      </c>
      <c r="G746" t="s">
        <v>133</v>
      </c>
      <c r="K746" t="s">
        <v>46</v>
      </c>
      <c r="L746" t="s">
        <v>135</v>
      </c>
      <c r="O746" t="s">
        <v>161</v>
      </c>
    </row>
    <row r="747" spans="1:15" x14ac:dyDescent="0.2">
      <c r="A747" t="s">
        <v>1730</v>
      </c>
      <c r="B747" t="s">
        <v>1731</v>
      </c>
      <c r="C747" t="s">
        <v>1732</v>
      </c>
      <c r="D747" t="s">
        <v>14</v>
      </c>
      <c r="E747" t="s">
        <v>133</v>
      </c>
      <c r="F747" t="s">
        <v>133</v>
      </c>
      <c r="G747" t="s">
        <v>133</v>
      </c>
      <c r="K747" t="s">
        <v>1733</v>
      </c>
      <c r="O747" t="s">
        <v>161</v>
      </c>
    </row>
    <row r="748" spans="1:15" x14ac:dyDescent="0.2">
      <c r="A748" t="s">
        <v>1734</v>
      </c>
      <c r="B748" t="s">
        <v>1735</v>
      </c>
      <c r="C748" t="s">
        <v>1736</v>
      </c>
      <c r="D748" t="s">
        <v>14</v>
      </c>
      <c r="E748" t="s">
        <v>133</v>
      </c>
      <c r="F748" t="s">
        <v>133</v>
      </c>
      <c r="G748" t="s">
        <v>133</v>
      </c>
      <c r="K748" t="s">
        <v>1737</v>
      </c>
      <c r="O748" t="s">
        <v>161</v>
      </c>
    </row>
    <row r="749" spans="1:15" x14ac:dyDescent="0.2">
      <c r="A749" t="s">
        <v>1738</v>
      </c>
      <c r="B749" t="s">
        <v>1739</v>
      </c>
      <c r="C749" t="s">
        <v>1740</v>
      </c>
      <c r="D749" t="s">
        <v>14</v>
      </c>
      <c r="E749" t="s">
        <v>133</v>
      </c>
      <c r="F749" t="s">
        <v>133</v>
      </c>
      <c r="G749" t="s">
        <v>133</v>
      </c>
      <c r="K749" t="s">
        <v>1741</v>
      </c>
      <c r="L749" t="s">
        <v>135</v>
      </c>
      <c r="O749" t="s">
        <v>161</v>
      </c>
    </row>
    <row r="750" spans="1:15" x14ac:dyDescent="0.2">
      <c r="A750" t="s">
        <v>1742</v>
      </c>
      <c r="B750" t="s">
        <v>1743</v>
      </c>
      <c r="C750" t="s">
        <v>1744</v>
      </c>
      <c r="D750" t="s">
        <v>14</v>
      </c>
      <c r="E750" t="s">
        <v>133</v>
      </c>
      <c r="F750" t="s">
        <v>133</v>
      </c>
      <c r="G750" t="s">
        <v>1745</v>
      </c>
      <c r="K750" t="s">
        <v>264</v>
      </c>
      <c r="L750" t="s">
        <v>135</v>
      </c>
      <c r="O750" t="s">
        <v>161</v>
      </c>
    </row>
    <row r="751" spans="1:15" x14ac:dyDescent="0.2">
      <c r="A751" t="s">
        <v>1746</v>
      </c>
      <c r="B751" t="s">
        <v>1747</v>
      </c>
      <c r="C751" t="s">
        <v>1748</v>
      </c>
      <c r="D751" t="s">
        <v>14</v>
      </c>
      <c r="E751" t="s">
        <v>133</v>
      </c>
      <c r="F751" t="s">
        <v>133</v>
      </c>
      <c r="G751" t="s">
        <v>133</v>
      </c>
      <c r="K751" t="s">
        <v>1749</v>
      </c>
      <c r="O751" t="s">
        <v>161</v>
      </c>
    </row>
    <row r="752" spans="1:15" x14ac:dyDescent="0.2">
      <c r="A752" t="s">
        <v>1750</v>
      </c>
      <c r="B752" t="s">
        <v>1751</v>
      </c>
      <c r="C752" t="s">
        <v>1752</v>
      </c>
      <c r="D752" t="s">
        <v>14</v>
      </c>
      <c r="E752" t="s">
        <v>133</v>
      </c>
      <c r="F752" t="s">
        <v>133</v>
      </c>
      <c r="G752" t="s">
        <v>133</v>
      </c>
      <c r="K752" t="s">
        <v>1753</v>
      </c>
      <c r="O752" t="s">
        <v>150</v>
      </c>
    </row>
    <row r="753" spans="1:20" x14ac:dyDescent="0.2">
      <c r="A753" t="s">
        <v>1754</v>
      </c>
      <c r="B753" t="s">
        <v>1755</v>
      </c>
      <c r="C753" t="s">
        <v>1756</v>
      </c>
      <c r="D753" t="s">
        <v>14</v>
      </c>
      <c r="E753" t="s">
        <v>133</v>
      </c>
      <c r="F753" t="s">
        <v>133</v>
      </c>
      <c r="G753" t="s">
        <v>133</v>
      </c>
      <c r="K753" t="s">
        <v>1757</v>
      </c>
      <c r="O753" t="s">
        <v>150</v>
      </c>
      <c r="Q753" t="s">
        <v>1757</v>
      </c>
    </row>
    <row r="754" spans="1:20" x14ac:dyDescent="0.2">
      <c r="A754" t="s">
        <v>1758</v>
      </c>
      <c r="B754" t="s">
        <v>1759</v>
      </c>
      <c r="C754" t="s">
        <v>1760</v>
      </c>
      <c r="D754" t="s">
        <v>14</v>
      </c>
      <c r="E754" t="s">
        <v>133</v>
      </c>
      <c r="F754" t="s">
        <v>133</v>
      </c>
      <c r="G754" t="s">
        <v>133</v>
      </c>
      <c r="K754" t="s">
        <v>1761</v>
      </c>
      <c r="O754" t="s">
        <v>150</v>
      </c>
      <c r="Q754" t="s">
        <v>1761</v>
      </c>
    </row>
    <row r="755" spans="1:20" x14ac:dyDescent="0.2">
      <c r="A755" t="s">
        <v>1762</v>
      </c>
      <c r="B755" t="s">
        <v>1763</v>
      </c>
      <c r="C755" t="s">
        <v>1764</v>
      </c>
      <c r="D755" t="s">
        <v>14</v>
      </c>
      <c r="E755" t="s">
        <v>133</v>
      </c>
      <c r="F755" t="s">
        <v>997</v>
      </c>
      <c r="G755" t="s">
        <v>133</v>
      </c>
      <c r="K755" t="s">
        <v>1765</v>
      </c>
      <c r="S755" t="s">
        <v>998</v>
      </c>
      <c r="T755" t="s">
        <v>265</v>
      </c>
    </row>
    <row r="756" spans="1:20" x14ac:dyDescent="0.2">
      <c r="A756" t="s">
        <v>1766</v>
      </c>
      <c r="B756" t="s">
        <v>1767</v>
      </c>
      <c r="C756" t="s">
        <v>1768</v>
      </c>
      <c r="D756" t="s">
        <v>14</v>
      </c>
      <c r="E756" t="s">
        <v>133</v>
      </c>
      <c r="F756" t="s">
        <v>997</v>
      </c>
      <c r="G756" t="s">
        <v>133</v>
      </c>
      <c r="K756" t="s">
        <v>1769</v>
      </c>
      <c r="S756" t="s">
        <v>998</v>
      </c>
      <c r="T756" t="s">
        <v>265</v>
      </c>
    </row>
    <row r="757" spans="1:20" x14ac:dyDescent="0.2">
      <c r="A757" t="s">
        <v>1770</v>
      </c>
      <c r="B757" t="s">
        <v>1771</v>
      </c>
      <c r="C757" t="s">
        <v>1772</v>
      </c>
      <c r="D757" t="s">
        <v>14</v>
      </c>
      <c r="E757" t="s">
        <v>133</v>
      </c>
      <c r="F757" t="s">
        <v>997</v>
      </c>
      <c r="G757" t="s">
        <v>133</v>
      </c>
      <c r="K757" t="s">
        <v>1773</v>
      </c>
      <c r="M757" t="s">
        <v>137</v>
      </c>
      <c r="O757" t="s">
        <v>161</v>
      </c>
      <c r="S757" t="s">
        <v>998</v>
      </c>
      <c r="T757" t="s">
        <v>265</v>
      </c>
    </row>
    <row r="758" spans="1:20" x14ac:dyDescent="0.2">
      <c r="A758" t="s">
        <v>1774</v>
      </c>
      <c r="B758" t="s">
        <v>1775</v>
      </c>
      <c r="C758" t="s">
        <v>1776</v>
      </c>
      <c r="D758" t="s">
        <v>24</v>
      </c>
      <c r="E758" t="s">
        <v>133</v>
      </c>
      <c r="F758" t="s">
        <v>997</v>
      </c>
      <c r="G758" t="s">
        <v>133</v>
      </c>
      <c r="M758" t="s">
        <v>282</v>
      </c>
      <c r="O758" t="s">
        <v>161</v>
      </c>
      <c r="P758">
        <v>4101091</v>
      </c>
      <c r="S758" t="s">
        <v>998</v>
      </c>
      <c r="T758" t="s">
        <v>265</v>
      </c>
    </row>
    <row r="759" spans="1:20" x14ac:dyDescent="0.2">
      <c r="A759" t="s">
        <v>1777</v>
      </c>
      <c r="B759" t="s">
        <v>1778</v>
      </c>
      <c r="C759" t="s">
        <v>1779</v>
      </c>
      <c r="D759" t="s">
        <v>24</v>
      </c>
      <c r="E759" t="s">
        <v>133</v>
      </c>
      <c r="F759" t="s">
        <v>997</v>
      </c>
      <c r="G759" t="s">
        <v>133</v>
      </c>
      <c r="M759" t="s">
        <v>282</v>
      </c>
      <c r="O759" t="s">
        <v>161</v>
      </c>
      <c r="P759">
        <v>4101010</v>
      </c>
      <c r="S759" t="s">
        <v>998</v>
      </c>
      <c r="T759" t="s">
        <v>265</v>
      </c>
    </row>
    <row r="760" spans="1:20" x14ac:dyDescent="0.2">
      <c r="A760" t="s">
        <v>1780</v>
      </c>
      <c r="B760" t="s">
        <v>1781</v>
      </c>
      <c r="C760" t="s">
        <v>1782</v>
      </c>
      <c r="D760" t="s">
        <v>14</v>
      </c>
      <c r="E760" t="s">
        <v>133</v>
      </c>
      <c r="F760" t="s">
        <v>997</v>
      </c>
      <c r="G760" t="s">
        <v>133</v>
      </c>
      <c r="K760" t="s">
        <v>1783</v>
      </c>
      <c r="M760" t="s">
        <v>137</v>
      </c>
      <c r="O760" t="s">
        <v>161</v>
      </c>
      <c r="S760" t="s">
        <v>998</v>
      </c>
      <c r="T760" t="s">
        <v>265</v>
      </c>
    </row>
    <row r="761" spans="1:20" x14ac:dyDescent="0.2">
      <c r="A761" t="s">
        <v>1784</v>
      </c>
      <c r="B761" t="s">
        <v>1785</v>
      </c>
      <c r="C761" t="s">
        <v>1786</v>
      </c>
      <c r="D761" t="s">
        <v>24</v>
      </c>
      <c r="E761" t="s">
        <v>133</v>
      </c>
      <c r="F761" t="s">
        <v>997</v>
      </c>
      <c r="G761" t="s">
        <v>133</v>
      </c>
      <c r="M761" t="s">
        <v>282</v>
      </c>
      <c r="O761" t="s">
        <v>161</v>
      </c>
      <c r="S761" t="s">
        <v>998</v>
      </c>
      <c r="T761" t="s">
        <v>265</v>
      </c>
    </row>
    <row r="762" spans="1:20" x14ac:dyDescent="0.2">
      <c r="A762" t="s">
        <v>1787</v>
      </c>
      <c r="B762" t="s">
        <v>1788</v>
      </c>
      <c r="C762" t="s">
        <v>1789</v>
      </c>
      <c r="D762" t="s">
        <v>14</v>
      </c>
      <c r="E762" t="s">
        <v>133</v>
      </c>
      <c r="F762" t="s">
        <v>997</v>
      </c>
      <c r="G762" t="s">
        <v>133</v>
      </c>
      <c r="K762" t="s">
        <v>1790</v>
      </c>
      <c r="M762" t="s">
        <v>137</v>
      </c>
      <c r="O762" t="s">
        <v>161</v>
      </c>
      <c r="S762" t="s">
        <v>998</v>
      </c>
      <c r="T762" t="s">
        <v>265</v>
      </c>
    </row>
    <row r="763" spans="1:20" x14ac:dyDescent="0.2">
      <c r="A763" t="s">
        <v>1791</v>
      </c>
      <c r="B763" t="s">
        <v>1792</v>
      </c>
      <c r="C763" t="s">
        <v>1793</v>
      </c>
      <c r="D763" t="s">
        <v>24</v>
      </c>
      <c r="E763" t="s">
        <v>133</v>
      </c>
      <c r="F763" t="s">
        <v>997</v>
      </c>
      <c r="G763" t="s">
        <v>133</v>
      </c>
      <c r="M763" t="s">
        <v>282</v>
      </c>
      <c r="O763" t="s">
        <v>161</v>
      </c>
      <c r="S763" t="s">
        <v>998</v>
      </c>
      <c r="T763" t="s">
        <v>265</v>
      </c>
    </row>
    <row r="764" spans="1:20" x14ac:dyDescent="0.2">
      <c r="A764" t="s">
        <v>1794</v>
      </c>
      <c r="B764" t="s">
        <v>1795</v>
      </c>
      <c r="C764" t="s">
        <v>1796</v>
      </c>
      <c r="D764" t="s">
        <v>24</v>
      </c>
      <c r="E764" t="s">
        <v>133</v>
      </c>
      <c r="F764" t="s">
        <v>997</v>
      </c>
      <c r="G764" t="s">
        <v>133</v>
      </c>
      <c r="M764" t="s">
        <v>137</v>
      </c>
      <c r="O764" t="s">
        <v>161</v>
      </c>
      <c r="S764" t="s">
        <v>998</v>
      </c>
      <c r="T764" t="s">
        <v>265</v>
      </c>
    </row>
    <row r="765" spans="1:20" x14ac:dyDescent="0.2">
      <c r="A765" t="s">
        <v>1797</v>
      </c>
      <c r="B765" t="s">
        <v>1798</v>
      </c>
      <c r="C765" t="s">
        <v>1799</v>
      </c>
      <c r="D765" t="s">
        <v>14</v>
      </c>
      <c r="E765" t="s">
        <v>133</v>
      </c>
      <c r="F765" t="s">
        <v>997</v>
      </c>
      <c r="G765" t="s">
        <v>133</v>
      </c>
      <c r="K765" t="s">
        <v>1800</v>
      </c>
      <c r="M765" t="s">
        <v>137</v>
      </c>
      <c r="O765" t="s">
        <v>161</v>
      </c>
      <c r="S765" t="s">
        <v>998</v>
      </c>
      <c r="T765" t="s">
        <v>265</v>
      </c>
    </row>
    <row r="766" spans="1:20" x14ac:dyDescent="0.2">
      <c r="A766" t="s">
        <v>1801</v>
      </c>
      <c r="B766" t="s">
        <v>1802</v>
      </c>
      <c r="C766" t="s">
        <v>1803</v>
      </c>
      <c r="D766" t="s">
        <v>14</v>
      </c>
      <c r="E766" t="s">
        <v>133</v>
      </c>
      <c r="F766" t="s">
        <v>997</v>
      </c>
      <c r="G766" t="s">
        <v>133</v>
      </c>
      <c r="K766" t="s">
        <v>1804</v>
      </c>
      <c r="S766" t="s">
        <v>998</v>
      </c>
      <c r="T766" t="s">
        <v>265</v>
      </c>
    </row>
    <row r="767" spans="1:20" x14ac:dyDescent="0.2">
      <c r="A767" t="s">
        <v>1805</v>
      </c>
      <c r="B767" t="s">
        <v>1806</v>
      </c>
      <c r="C767" t="s">
        <v>1807</v>
      </c>
      <c r="D767" t="s">
        <v>14</v>
      </c>
      <c r="E767" t="s">
        <v>133</v>
      </c>
      <c r="F767" t="s">
        <v>997</v>
      </c>
      <c r="G767" t="s">
        <v>133</v>
      </c>
      <c r="K767" t="s">
        <v>1808</v>
      </c>
      <c r="M767" t="s">
        <v>137</v>
      </c>
      <c r="O767" t="s">
        <v>161</v>
      </c>
      <c r="S767" t="s">
        <v>998</v>
      </c>
      <c r="T767" t="s">
        <v>265</v>
      </c>
    </row>
    <row r="768" spans="1:20" x14ac:dyDescent="0.2">
      <c r="A768" t="s">
        <v>1809</v>
      </c>
      <c r="B768" t="s">
        <v>1810</v>
      </c>
      <c r="C768" t="s">
        <v>1811</v>
      </c>
      <c r="D768" t="s">
        <v>14</v>
      </c>
      <c r="E768" t="s">
        <v>133</v>
      </c>
      <c r="F768" t="s">
        <v>997</v>
      </c>
      <c r="G768" t="s">
        <v>133</v>
      </c>
      <c r="K768" t="s">
        <v>1812</v>
      </c>
      <c r="M768" t="s">
        <v>137</v>
      </c>
      <c r="O768" t="s">
        <v>161</v>
      </c>
      <c r="S768" t="s">
        <v>998</v>
      </c>
      <c r="T768" t="s">
        <v>265</v>
      </c>
    </row>
    <row r="769" spans="1:20" x14ac:dyDescent="0.2">
      <c r="A769" t="s">
        <v>1813</v>
      </c>
      <c r="B769" t="s">
        <v>1814</v>
      </c>
      <c r="C769" t="s">
        <v>1815</v>
      </c>
      <c r="D769" t="s">
        <v>24</v>
      </c>
      <c r="E769" t="s">
        <v>133</v>
      </c>
      <c r="F769" t="s">
        <v>997</v>
      </c>
      <c r="G769" t="s">
        <v>133</v>
      </c>
      <c r="M769" t="s">
        <v>137</v>
      </c>
      <c r="O769" t="s">
        <v>161</v>
      </c>
      <c r="P769">
        <v>4200020</v>
      </c>
      <c r="S769" t="s">
        <v>998</v>
      </c>
      <c r="T769" t="s">
        <v>265</v>
      </c>
    </row>
    <row r="770" spans="1:20" x14ac:dyDescent="0.2">
      <c r="A770" t="s">
        <v>1816</v>
      </c>
      <c r="B770" t="s">
        <v>1817</v>
      </c>
      <c r="C770" t="s">
        <v>1818</v>
      </c>
      <c r="D770" t="s">
        <v>24</v>
      </c>
      <c r="E770" t="s">
        <v>133</v>
      </c>
      <c r="F770" t="s">
        <v>997</v>
      </c>
      <c r="G770" t="s">
        <v>133</v>
      </c>
      <c r="M770" t="s">
        <v>137</v>
      </c>
      <c r="O770" t="s">
        <v>161</v>
      </c>
      <c r="S770" t="s">
        <v>998</v>
      </c>
      <c r="T770" t="s">
        <v>265</v>
      </c>
    </row>
    <row r="771" spans="1:20" x14ac:dyDescent="0.2">
      <c r="A771" t="s">
        <v>1819</v>
      </c>
      <c r="B771" t="s">
        <v>1820</v>
      </c>
      <c r="C771" t="s">
        <v>1821</v>
      </c>
      <c r="D771" t="s">
        <v>24</v>
      </c>
      <c r="E771" t="s">
        <v>133</v>
      </c>
      <c r="F771" t="s">
        <v>997</v>
      </c>
      <c r="G771" t="s">
        <v>133</v>
      </c>
      <c r="M771" t="s">
        <v>137</v>
      </c>
      <c r="O771" t="s">
        <v>161</v>
      </c>
      <c r="P771">
        <v>4200021</v>
      </c>
      <c r="S771" t="s">
        <v>998</v>
      </c>
      <c r="T771" t="s">
        <v>265</v>
      </c>
    </row>
    <row r="772" spans="1:20" x14ac:dyDescent="0.2">
      <c r="A772" t="s">
        <v>1822</v>
      </c>
      <c r="B772" t="s">
        <v>1823</v>
      </c>
      <c r="C772" t="s">
        <v>1824</v>
      </c>
      <c r="D772" t="s">
        <v>14</v>
      </c>
      <c r="E772" t="s">
        <v>133</v>
      </c>
      <c r="F772" t="s">
        <v>997</v>
      </c>
      <c r="G772" t="s">
        <v>133</v>
      </c>
      <c r="K772" t="s">
        <v>1825</v>
      </c>
      <c r="M772" t="s">
        <v>137</v>
      </c>
      <c r="O772" t="s">
        <v>161</v>
      </c>
      <c r="S772" t="s">
        <v>998</v>
      </c>
      <c r="T772" t="s">
        <v>265</v>
      </c>
    </row>
    <row r="773" spans="1:20" x14ac:dyDescent="0.2">
      <c r="A773" t="s">
        <v>1826</v>
      </c>
      <c r="B773" t="s">
        <v>1827</v>
      </c>
      <c r="C773" t="s">
        <v>1828</v>
      </c>
      <c r="D773" t="s">
        <v>24</v>
      </c>
      <c r="E773" t="s">
        <v>133</v>
      </c>
      <c r="F773" t="s">
        <v>997</v>
      </c>
      <c r="G773" t="s">
        <v>133</v>
      </c>
      <c r="M773" t="s">
        <v>282</v>
      </c>
      <c r="O773" t="s">
        <v>161</v>
      </c>
      <c r="P773">
        <v>4200022</v>
      </c>
      <c r="S773" t="s">
        <v>998</v>
      </c>
      <c r="T773" t="s">
        <v>265</v>
      </c>
    </row>
    <row r="774" spans="1:20" x14ac:dyDescent="0.2">
      <c r="A774" t="s">
        <v>1829</v>
      </c>
      <c r="B774" t="s">
        <v>1830</v>
      </c>
      <c r="C774" t="s">
        <v>1831</v>
      </c>
      <c r="D774" t="s">
        <v>24</v>
      </c>
      <c r="E774" t="s">
        <v>133</v>
      </c>
      <c r="F774" t="s">
        <v>997</v>
      </c>
      <c r="G774" t="s">
        <v>133</v>
      </c>
      <c r="M774" t="s">
        <v>282</v>
      </c>
      <c r="O774" t="s">
        <v>161</v>
      </c>
      <c r="P774">
        <v>4200023</v>
      </c>
      <c r="S774" t="s">
        <v>998</v>
      </c>
      <c r="T774" t="s">
        <v>265</v>
      </c>
    </row>
    <row r="775" spans="1:20" x14ac:dyDescent="0.2">
      <c r="A775" t="s">
        <v>1832</v>
      </c>
      <c r="B775" t="s">
        <v>1833</v>
      </c>
      <c r="C775" t="s">
        <v>1834</v>
      </c>
      <c r="D775" t="s">
        <v>24</v>
      </c>
      <c r="E775" t="s">
        <v>133</v>
      </c>
      <c r="F775" t="s">
        <v>997</v>
      </c>
      <c r="G775" t="s">
        <v>133</v>
      </c>
      <c r="M775" t="s">
        <v>282</v>
      </c>
      <c r="O775" t="s">
        <v>161</v>
      </c>
      <c r="P775">
        <v>4200024</v>
      </c>
      <c r="S775" t="s">
        <v>998</v>
      </c>
      <c r="T775" t="s">
        <v>265</v>
      </c>
    </row>
    <row r="776" spans="1:20" x14ac:dyDescent="0.2">
      <c r="A776" t="s">
        <v>1835</v>
      </c>
      <c r="B776" t="s">
        <v>1836</v>
      </c>
      <c r="C776" t="s">
        <v>1837</v>
      </c>
      <c r="D776" t="s">
        <v>24</v>
      </c>
      <c r="E776" t="s">
        <v>133</v>
      </c>
      <c r="F776" t="s">
        <v>997</v>
      </c>
      <c r="G776" t="s">
        <v>133</v>
      </c>
      <c r="M776" t="s">
        <v>282</v>
      </c>
      <c r="O776" t="s">
        <v>161</v>
      </c>
      <c r="P776">
        <v>4200025</v>
      </c>
      <c r="S776" t="s">
        <v>998</v>
      </c>
      <c r="T776" t="s">
        <v>265</v>
      </c>
    </row>
    <row r="777" spans="1:20" x14ac:dyDescent="0.2">
      <c r="A777" t="s">
        <v>1838</v>
      </c>
      <c r="B777" t="s">
        <v>1839</v>
      </c>
      <c r="C777" t="s">
        <v>1840</v>
      </c>
      <c r="D777" t="s">
        <v>24</v>
      </c>
      <c r="E777" t="s">
        <v>133</v>
      </c>
      <c r="F777" t="s">
        <v>997</v>
      </c>
      <c r="G777" t="s">
        <v>133</v>
      </c>
      <c r="M777" t="s">
        <v>282</v>
      </c>
      <c r="O777" t="s">
        <v>161</v>
      </c>
      <c r="P777">
        <v>4200026</v>
      </c>
      <c r="S777" t="s">
        <v>998</v>
      </c>
      <c r="T777" t="s">
        <v>265</v>
      </c>
    </row>
    <row r="778" spans="1:20" x14ac:dyDescent="0.2">
      <c r="A778" t="s">
        <v>1841</v>
      </c>
      <c r="B778" t="s">
        <v>1842</v>
      </c>
      <c r="C778" t="s">
        <v>1843</v>
      </c>
      <c r="D778" t="s">
        <v>14</v>
      </c>
      <c r="E778" t="s">
        <v>133</v>
      </c>
      <c r="F778" t="s">
        <v>997</v>
      </c>
      <c r="G778" t="s">
        <v>133</v>
      </c>
      <c r="K778" t="s">
        <v>1844</v>
      </c>
      <c r="M778" t="s">
        <v>137</v>
      </c>
      <c r="O778" t="s">
        <v>161</v>
      </c>
      <c r="S778" t="s">
        <v>998</v>
      </c>
      <c r="T778" t="s">
        <v>265</v>
      </c>
    </row>
    <row r="779" spans="1:20" x14ac:dyDescent="0.2">
      <c r="A779" t="s">
        <v>1845</v>
      </c>
      <c r="B779" t="s">
        <v>1846</v>
      </c>
      <c r="C779" t="s">
        <v>1847</v>
      </c>
      <c r="D779" t="s">
        <v>24</v>
      </c>
      <c r="E779" t="s">
        <v>133</v>
      </c>
      <c r="F779" t="s">
        <v>997</v>
      </c>
      <c r="G779" t="s">
        <v>133</v>
      </c>
      <c r="M779" t="s">
        <v>137</v>
      </c>
      <c r="O779" t="s">
        <v>161</v>
      </c>
      <c r="P779">
        <v>4104001</v>
      </c>
      <c r="S779" t="s">
        <v>998</v>
      </c>
      <c r="T779" t="s">
        <v>265</v>
      </c>
    </row>
    <row r="780" spans="1:20" x14ac:dyDescent="0.2">
      <c r="A780" t="s">
        <v>1848</v>
      </c>
      <c r="B780" t="s">
        <v>1849</v>
      </c>
      <c r="C780" t="s">
        <v>1850</v>
      </c>
      <c r="D780" t="s">
        <v>24</v>
      </c>
      <c r="E780" t="s">
        <v>133</v>
      </c>
      <c r="F780" t="s">
        <v>997</v>
      </c>
      <c r="G780" t="s">
        <v>133</v>
      </c>
      <c r="M780" t="s">
        <v>137</v>
      </c>
      <c r="O780" t="s">
        <v>161</v>
      </c>
      <c r="P780">
        <v>4105006</v>
      </c>
      <c r="S780" t="s">
        <v>998</v>
      </c>
      <c r="T780" t="s">
        <v>265</v>
      </c>
    </row>
    <row r="781" spans="1:20" x14ac:dyDescent="0.2">
      <c r="A781" t="s">
        <v>1851</v>
      </c>
      <c r="B781" t="s">
        <v>1852</v>
      </c>
      <c r="C781" t="s">
        <v>1853</v>
      </c>
      <c r="D781" t="s">
        <v>14</v>
      </c>
      <c r="E781" t="s">
        <v>133</v>
      </c>
      <c r="F781" t="s">
        <v>997</v>
      </c>
      <c r="G781" t="s">
        <v>133</v>
      </c>
      <c r="K781" t="s">
        <v>1854</v>
      </c>
      <c r="M781" t="s">
        <v>282</v>
      </c>
      <c r="O781" t="s">
        <v>161</v>
      </c>
      <c r="S781" t="s">
        <v>998</v>
      </c>
      <c r="T781" t="s">
        <v>265</v>
      </c>
    </row>
    <row r="782" spans="1:20" x14ac:dyDescent="0.2">
      <c r="A782" t="s">
        <v>1855</v>
      </c>
      <c r="B782" t="s">
        <v>1856</v>
      </c>
      <c r="C782" t="s">
        <v>1854</v>
      </c>
      <c r="D782" t="s">
        <v>14</v>
      </c>
      <c r="E782" t="s">
        <v>133</v>
      </c>
      <c r="F782" t="s">
        <v>997</v>
      </c>
      <c r="G782" t="s">
        <v>133</v>
      </c>
      <c r="K782" t="s">
        <v>1857</v>
      </c>
      <c r="M782" t="s">
        <v>282</v>
      </c>
      <c r="O782" t="s">
        <v>161</v>
      </c>
      <c r="S782" t="s">
        <v>998</v>
      </c>
      <c r="T782" t="s">
        <v>265</v>
      </c>
    </row>
    <row r="783" spans="1:20" x14ac:dyDescent="0.2">
      <c r="A783" t="s">
        <v>1858</v>
      </c>
      <c r="B783" t="s">
        <v>1859</v>
      </c>
      <c r="C783" t="s">
        <v>1860</v>
      </c>
      <c r="D783" t="s">
        <v>24</v>
      </c>
      <c r="E783" t="s">
        <v>133</v>
      </c>
      <c r="F783" t="s">
        <v>997</v>
      </c>
      <c r="G783" t="s">
        <v>133</v>
      </c>
      <c r="M783" t="s">
        <v>282</v>
      </c>
      <c r="O783" t="s">
        <v>161</v>
      </c>
      <c r="S783" t="s">
        <v>998</v>
      </c>
      <c r="T783" t="s">
        <v>265</v>
      </c>
    </row>
    <row r="784" spans="1:20" x14ac:dyDescent="0.2">
      <c r="A784" t="s">
        <v>1861</v>
      </c>
      <c r="B784" t="s">
        <v>1862</v>
      </c>
      <c r="C784" t="s">
        <v>1863</v>
      </c>
      <c r="D784" t="s">
        <v>24</v>
      </c>
      <c r="E784" t="s">
        <v>133</v>
      </c>
      <c r="F784" t="s">
        <v>997</v>
      </c>
      <c r="G784" t="s">
        <v>133</v>
      </c>
      <c r="M784" t="s">
        <v>282</v>
      </c>
      <c r="O784" t="s">
        <v>161</v>
      </c>
      <c r="P784" t="s">
        <v>1864</v>
      </c>
      <c r="S784" t="s">
        <v>998</v>
      </c>
      <c r="T784" t="s">
        <v>265</v>
      </c>
    </row>
    <row r="785" spans="1:20" x14ac:dyDescent="0.2">
      <c r="A785" t="s">
        <v>1865</v>
      </c>
      <c r="B785" t="s">
        <v>1866</v>
      </c>
      <c r="C785" t="s">
        <v>1867</v>
      </c>
      <c r="D785" t="s">
        <v>24</v>
      </c>
      <c r="E785" t="s">
        <v>133</v>
      </c>
      <c r="F785" t="s">
        <v>997</v>
      </c>
      <c r="G785" t="s">
        <v>133</v>
      </c>
      <c r="M785" t="s">
        <v>137</v>
      </c>
      <c r="O785" t="s">
        <v>161</v>
      </c>
      <c r="S785" t="s">
        <v>998</v>
      </c>
      <c r="T785" t="s">
        <v>265</v>
      </c>
    </row>
    <row r="786" spans="1:20" x14ac:dyDescent="0.2">
      <c r="A786" t="s">
        <v>1868</v>
      </c>
      <c r="B786" t="s">
        <v>1869</v>
      </c>
      <c r="C786" t="s">
        <v>1870</v>
      </c>
      <c r="D786" t="s">
        <v>24</v>
      </c>
      <c r="E786" t="s">
        <v>133</v>
      </c>
      <c r="F786" t="s">
        <v>997</v>
      </c>
      <c r="G786" t="s">
        <v>133</v>
      </c>
      <c r="M786" t="s">
        <v>282</v>
      </c>
      <c r="O786" t="s">
        <v>161</v>
      </c>
      <c r="S786" t="s">
        <v>998</v>
      </c>
      <c r="T786" t="s">
        <v>265</v>
      </c>
    </row>
    <row r="787" spans="1:20" x14ac:dyDescent="0.2">
      <c r="A787" t="s">
        <v>1871</v>
      </c>
      <c r="B787" t="s">
        <v>1872</v>
      </c>
      <c r="C787" t="s">
        <v>1873</v>
      </c>
      <c r="D787" t="s">
        <v>61</v>
      </c>
      <c r="E787" t="s">
        <v>133</v>
      </c>
      <c r="K787" t="s">
        <v>1874</v>
      </c>
      <c r="M787" t="s">
        <v>282</v>
      </c>
      <c r="O787" t="s">
        <v>150</v>
      </c>
      <c r="S787" t="s">
        <v>1658</v>
      </c>
      <c r="T787" t="s">
        <v>265</v>
      </c>
    </row>
    <row r="788" spans="1:20" x14ac:dyDescent="0.2">
      <c r="A788" t="s">
        <v>1875</v>
      </c>
      <c r="B788" t="s">
        <v>1876</v>
      </c>
      <c r="C788" t="s">
        <v>1874</v>
      </c>
      <c r="D788" t="s">
        <v>61</v>
      </c>
      <c r="E788" t="s">
        <v>133</v>
      </c>
      <c r="K788" t="s">
        <v>1877</v>
      </c>
      <c r="M788" t="s">
        <v>282</v>
      </c>
      <c r="O788" t="s">
        <v>150</v>
      </c>
      <c r="S788" t="s">
        <v>1658</v>
      </c>
      <c r="T788" t="s">
        <v>265</v>
      </c>
    </row>
    <row r="789" spans="1:20" x14ac:dyDescent="0.2">
      <c r="A789" t="s">
        <v>1878</v>
      </c>
      <c r="B789" t="s">
        <v>1879</v>
      </c>
      <c r="C789" t="s">
        <v>1880</v>
      </c>
      <c r="D789" t="s">
        <v>61</v>
      </c>
      <c r="E789" t="s">
        <v>133</v>
      </c>
      <c r="K789" t="s">
        <v>1881</v>
      </c>
      <c r="M789" t="s">
        <v>282</v>
      </c>
      <c r="O789" t="s">
        <v>150</v>
      </c>
      <c r="S789" t="s">
        <v>1658</v>
      </c>
      <c r="T789" t="s">
        <v>265</v>
      </c>
    </row>
    <row r="790" spans="1:20" x14ac:dyDescent="0.2">
      <c r="A790" t="s">
        <v>1882</v>
      </c>
      <c r="B790" t="s">
        <v>1883</v>
      </c>
      <c r="C790" t="s">
        <v>1884</v>
      </c>
      <c r="D790" t="s">
        <v>61</v>
      </c>
      <c r="E790" t="s">
        <v>133</v>
      </c>
      <c r="K790" t="s">
        <v>1885</v>
      </c>
      <c r="M790" t="s">
        <v>282</v>
      </c>
      <c r="O790" t="s">
        <v>150</v>
      </c>
      <c r="S790" t="s">
        <v>1658</v>
      </c>
      <c r="T790" t="s">
        <v>265</v>
      </c>
    </row>
    <row r="791" spans="1:20" x14ac:dyDescent="0.2">
      <c r="A791" t="s">
        <v>1886</v>
      </c>
      <c r="B791" t="s">
        <v>1887</v>
      </c>
      <c r="C791" t="s">
        <v>1888</v>
      </c>
      <c r="D791" t="s">
        <v>61</v>
      </c>
      <c r="E791" t="s">
        <v>133</v>
      </c>
      <c r="K791" t="s">
        <v>1889</v>
      </c>
      <c r="M791" t="s">
        <v>282</v>
      </c>
      <c r="O791" t="s">
        <v>161</v>
      </c>
      <c r="S791" t="s">
        <v>1658</v>
      </c>
      <c r="T791" t="s">
        <v>265</v>
      </c>
    </row>
    <row r="792" spans="1:20" x14ac:dyDescent="0.2">
      <c r="A792" t="s">
        <v>1890</v>
      </c>
      <c r="B792" t="s">
        <v>1891</v>
      </c>
      <c r="C792" t="s">
        <v>1892</v>
      </c>
      <c r="D792" t="s">
        <v>61</v>
      </c>
      <c r="E792" t="s">
        <v>133</v>
      </c>
      <c r="K792" t="s">
        <v>1893</v>
      </c>
      <c r="M792" t="s">
        <v>136</v>
      </c>
      <c r="S792" t="s">
        <v>1658</v>
      </c>
      <c r="T792" t="s">
        <v>265</v>
      </c>
    </row>
    <row r="793" spans="1:20" x14ac:dyDescent="0.2">
      <c r="A793" t="s">
        <v>1894</v>
      </c>
      <c r="B793" t="s">
        <v>1895</v>
      </c>
      <c r="C793" t="s">
        <v>1896</v>
      </c>
      <c r="D793" t="s">
        <v>61</v>
      </c>
      <c r="E793" t="s">
        <v>133</v>
      </c>
      <c r="K793" t="s">
        <v>1897</v>
      </c>
      <c r="M793" t="s">
        <v>137</v>
      </c>
      <c r="O793" t="s">
        <v>150</v>
      </c>
      <c r="S793" t="s">
        <v>1658</v>
      </c>
      <c r="T793" t="s">
        <v>265</v>
      </c>
    </row>
    <row r="794" spans="1:20" x14ac:dyDescent="0.2">
      <c r="A794" t="s">
        <v>1898</v>
      </c>
      <c r="B794" t="s">
        <v>1899</v>
      </c>
      <c r="C794" t="s">
        <v>1900</v>
      </c>
      <c r="D794" t="s">
        <v>61</v>
      </c>
      <c r="E794" t="s">
        <v>133</v>
      </c>
      <c r="K794" t="s">
        <v>1901</v>
      </c>
      <c r="M794" t="s">
        <v>282</v>
      </c>
      <c r="O794" t="s">
        <v>150</v>
      </c>
      <c r="Q794" t="s">
        <v>1902</v>
      </c>
      <c r="S794" t="s">
        <v>1658</v>
      </c>
      <c r="T794" t="s">
        <v>265</v>
      </c>
    </row>
    <row r="795" spans="1:20" x14ac:dyDescent="0.2">
      <c r="A795" t="s">
        <v>1903</v>
      </c>
      <c r="B795" t="s">
        <v>1904</v>
      </c>
      <c r="C795" t="s">
        <v>1905</v>
      </c>
      <c r="D795" t="s">
        <v>24</v>
      </c>
      <c r="E795" t="s">
        <v>133</v>
      </c>
      <c r="M795" t="s">
        <v>137</v>
      </c>
      <c r="O795" t="s">
        <v>150</v>
      </c>
      <c r="S795" t="s">
        <v>1658</v>
      </c>
      <c r="T795" t="s">
        <v>265</v>
      </c>
    </row>
    <row r="796" spans="1:20" x14ac:dyDescent="0.2">
      <c r="A796" t="s">
        <v>1906</v>
      </c>
      <c r="B796" t="s">
        <v>1907</v>
      </c>
      <c r="C796" t="s">
        <v>1908</v>
      </c>
      <c r="D796" t="s">
        <v>24</v>
      </c>
      <c r="E796" t="s">
        <v>133</v>
      </c>
      <c r="M796" t="s">
        <v>137</v>
      </c>
      <c r="O796" t="s">
        <v>150</v>
      </c>
      <c r="S796" t="s">
        <v>1658</v>
      </c>
      <c r="T796" t="s">
        <v>265</v>
      </c>
    </row>
    <row r="797" spans="1:20" x14ac:dyDescent="0.2">
      <c r="A797" t="s">
        <v>1909</v>
      </c>
      <c r="B797" t="s">
        <v>1910</v>
      </c>
      <c r="C797" t="s">
        <v>1911</v>
      </c>
      <c r="D797" t="s">
        <v>61</v>
      </c>
      <c r="E797" t="s">
        <v>133</v>
      </c>
      <c r="K797" t="s">
        <v>1912</v>
      </c>
      <c r="M797" t="s">
        <v>282</v>
      </c>
      <c r="O797" t="s">
        <v>150</v>
      </c>
      <c r="S797" t="s">
        <v>1658</v>
      </c>
      <c r="T797" t="s">
        <v>265</v>
      </c>
    </row>
    <row r="798" spans="1:20" x14ac:dyDescent="0.2">
      <c r="A798" t="s">
        <v>1913</v>
      </c>
      <c r="B798" t="s">
        <v>1914</v>
      </c>
      <c r="C798" t="s">
        <v>1915</v>
      </c>
      <c r="D798" t="s">
        <v>61</v>
      </c>
      <c r="E798" t="s">
        <v>133</v>
      </c>
      <c r="K798" t="s">
        <v>1916</v>
      </c>
      <c r="M798" t="s">
        <v>137</v>
      </c>
      <c r="O798" t="s">
        <v>511</v>
      </c>
      <c r="S798" t="s">
        <v>1658</v>
      </c>
      <c r="T798" t="s">
        <v>265</v>
      </c>
    </row>
    <row r="799" spans="1:20" x14ac:dyDescent="0.2">
      <c r="A799" t="s">
        <v>1917</v>
      </c>
      <c r="B799" t="s">
        <v>1918</v>
      </c>
      <c r="C799" t="s">
        <v>1919</v>
      </c>
      <c r="D799" t="s">
        <v>61</v>
      </c>
      <c r="E799" t="s">
        <v>133</v>
      </c>
      <c r="K799" t="s">
        <v>1920</v>
      </c>
      <c r="M799" t="s">
        <v>137</v>
      </c>
      <c r="O799" t="s">
        <v>150</v>
      </c>
      <c r="S799" t="s">
        <v>1658</v>
      </c>
      <c r="T799" t="s">
        <v>265</v>
      </c>
    </row>
    <row r="800" spans="1:20" x14ac:dyDescent="0.2">
      <c r="A800" t="s">
        <v>1921</v>
      </c>
      <c r="B800" t="s">
        <v>1922</v>
      </c>
      <c r="C800" t="s">
        <v>1923</v>
      </c>
      <c r="D800" t="s">
        <v>35</v>
      </c>
      <c r="E800" t="s">
        <v>133</v>
      </c>
      <c r="M800" t="s">
        <v>137</v>
      </c>
      <c r="O800" t="s">
        <v>150</v>
      </c>
      <c r="S800" t="s">
        <v>1658</v>
      </c>
      <c r="T800" t="s">
        <v>265</v>
      </c>
    </row>
    <row r="801" spans="1:20" x14ac:dyDescent="0.2">
      <c r="A801" t="s">
        <v>1924</v>
      </c>
      <c r="B801" t="s">
        <v>1925</v>
      </c>
      <c r="C801" t="s">
        <v>1926</v>
      </c>
      <c r="D801" t="s">
        <v>61</v>
      </c>
      <c r="E801" t="s">
        <v>133</v>
      </c>
      <c r="K801" t="s">
        <v>1927</v>
      </c>
      <c r="M801" t="s">
        <v>137</v>
      </c>
      <c r="O801" t="s">
        <v>150</v>
      </c>
      <c r="S801" t="s">
        <v>1658</v>
      </c>
      <c r="T801" t="s">
        <v>265</v>
      </c>
    </row>
    <row r="802" spans="1:20" x14ac:dyDescent="0.2">
      <c r="A802" t="s">
        <v>1928</v>
      </c>
      <c r="B802" t="s">
        <v>1929</v>
      </c>
      <c r="C802" t="s">
        <v>1930</v>
      </c>
      <c r="D802" t="s">
        <v>61</v>
      </c>
      <c r="E802" t="s">
        <v>133</v>
      </c>
      <c r="K802" t="s">
        <v>1931</v>
      </c>
      <c r="M802" t="s">
        <v>282</v>
      </c>
      <c r="O802" t="s">
        <v>161</v>
      </c>
      <c r="S802" t="s">
        <v>1658</v>
      </c>
      <c r="T802" t="s">
        <v>265</v>
      </c>
    </row>
    <row r="803" spans="1:20" x14ac:dyDescent="0.2">
      <c r="A803" t="s">
        <v>1932</v>
      </c>
      <c r="B803" t="s">
        <v>1933</v>
      </c>
      <c r="C803" t="s">
        <v>1934</v>
      </c>
      <c r="D803" t="s">
        <v>61</v>
      </c>
      <c r="E803" t="s">
        <v>133</v>
      </c>
      <c r="K803" t="s">
        <v>1935</v>
      </c>
      <c r="M803" t="s">
        <v>282</v>
      </c>
      <c r="O803" t="s">
        <v>161</v>
      </c>
      <c r="P803" t="s">
        <v>1936</v>
      </c>
      <c r="Q803" t="s">
        <v>1937</v>
      </c>
      <c r="S803" t="s">
        <v>1658</v>
      </c>
      <c r="T803" t="s">
        <v>265</v>
      </c>
    </row>
    <row r="804" spans="1:20" x14ac:dyDescent="0.2">
      <c r="A804" t="s">
        <v>1938</v>
      </c>
      <c r="B804" t="s">
        <v>1939</v>
      </c>
      <c r="C804" t="s">
        <v>1940</v>
      </c>
      <c r="D804" t="s">
        <v>24</v>
      </c>
      <c r="E804" t="s">
        <v>133</v>
      </c>
      <c r="M804" t="s">
        <v>282</v>
      </c>
      <c r="O804" t="s">
        <v>161</v>
      </c>
      <c r="S804" t="s">
        <v>1658</v>
      </c>
      <c r="T804" t="s">
        <v>265</v>
      </c>
    </row>
    <row r="805" spans="1:20" x14ac:dyDescent="0.2">
      <c r="A805" t="s">
        <v>1941</v>
      </c>
      <c r="B805" t="s">
        <v>1942</v>
      </c>
      <c r="C805" t="s">
        <v>1943</v>
      </c>
      <c r="D805" t="s">
        <v>61</v>
      </c>
      <c r="E805" t="s">
        <v>133</v>
      </c>
      <c r="K805" t="s">
        <v>1944</v>
      </c>
      <c r="M805" t="s">
        <v>282</v>
      </c>
      <c r="O805" t="s">
        <v>150</v>
      </c>
      <c r="S805" t="s">
        <v>1658</v>
      </c>
      <c r="T805" t="s">
        <v>265</v>
      </c>
    </row>
    <row r="806" spans="1:20" x14ac:dyDescent="0.2">
      <c r="A806" t="s">
        <v>1945</v>
      </c>
      <c r="B806" t="s">
        <v>1946</v>
      </c>
      <c r="C806" t="s">
        <v>1947</v>
      </c>
      <c r="D806" t="s">
        <v>61</v>
      </c>
      <c r="E806" t="s">
        <v>133</v>
      </c>
      <c r="K806" t="s">
        <v>1948</v>
      </c>
      <c r="M806" t="s">
        <v>282</v>
      </c>
      <c r="O806" t="s">
        <v>150</v>
      </c>
      <c r="S806" t="s">
        <v>1658</v>
      </c>
      <c r="T806" t="s">
        <v>265</v>
      </c>
    </row>
    <row r="807" spans="1:20" x14ac:dyDescent="0.2">
      <c r="A807" t="s">
        <v>1949</v>
      </c>
      <c r="B807" t="s">
        <v>1950</v>
      </c>
      <c r="C807" t="s">
        <v>1951</v>
      </c>
      <c r="D807" t="s">
        <v>24</v>
      </c>
      <c r="E807" t="s">
        <v>133</v>
      </c>
      <c r="M807" t="s">
        <v>137</v>
      </c>
      <c r="O807" t="s">
        <v>150</v>
      </c>
      <c r="S807" t="s">
        <v>1658</v>
      </c>
      <c r="T807" t="s">
        <v>265</v>
      </c>
    </row>
    <row r="808" spans="1:20" x14ac:dyDescent="0.2">
      <c r="A808" t="s">
        <v>1952</v>
      </c>
      <c r="B808" t="s">
        <v>1953</v>
      </c>
      <c r="C808" t="s">
        <v>1954</v>
      </c>
      <c r="D808" t="s">
        <v>61</v>
      </c>
      <c r="E808" t="s">
        <v>133</v>
      </c>
      <c r="K808" t="s">
        <v>1955</v>
      </c>
      <c r="M808" t="s">
        <v>137</v>
      </c>
      <c r="O808" t="s">
        <v>150</v>
      </c>
      <c r="S808" t="s">
        <v>1658</v>
      </c>
      <c r="T808" t="s">
        <v>265</v>
      </c>
    </row>
    <row r="809" spans="1:20" x14ac:dyDescent="0.2">
      <c r="A809" t="s">
        <v>1956</v>
      </c>
      <c r="B809" t="s">
        <v>1957</v>
      </c>
      <c r="C809" t="s">
        <v>1958</v>
      </c>
      <c r="D809" t="s">
        <v>61</v>
      </c>
      <c r="E809" t="s">
        <v>133</v>
      </c>
      <c r="K809" t="s">
        <v>1959</v>
      </c>
      <c r="M809" t="s">
        <v>282</v>
      </c>
      <c r="O809" t="s">
        <v>150</v>
      </c>
      <c r="S809" t="s">
        <v>1658</v>
      </c>
      <c r="T809" t="s">
        <v>265</v>
      </c>
    </row>
    <row r="810" spans="1:20" x14ac:dyDescent="0.2">
      <c r="A810" t="s">
        <v>1960</v>
      </c>
      <c r="B810" t="s">
        <v>1961</v>
      </c>
      <c r="C810" t="s">
        <v>1962</v>
      </c>
      <c r="D810" t="s">
        <v>24</v>
      </c>
      <c r="E810" t="s">
        <v>133</v>
      </c>
      <c r="M810" t="s">
        <v>137</v>
      </c>
      <c r="O810" t="s">
        <v>511</v>
      </c>
      <c r="Q810" t="s">
        <v>1963</v>
      </c>
      <c r="T810" t="s">
        <v>265</v>
      </c>
    </row>
    <row r="811" spans="1:20" x14ac:dyDescent="0.2">
      <c r="A811" t="s">
        <v>1964</v>
      </c>
      <c r="B811" t="s">
        <v>1965</v>
      </c>
      <c r="C811" t="s">
        <v>1966</v>
      </c>
      <c r="D811" t="s">
        <v>61</v>
      </c>
      <c r="E811" t="s">
        <v>133</v>
      </c>
      <c r="K811" t="s">
        <v>1967</v>
      </c>
      <c r="M811" t="s">
        <v>282</v>
      </c>
      <c r="O811" t="s">
        <v>161</v>
      </c>
      <c r="P811" t="s">
        <v>1968</v>
      </c>
      <c r="S811" t="s">
        <v>1658</v>
      </c>
      <c r="T811" t="s">
        <v>265</v>
      </c>
    </row>
    <row r="812" spans="1:20" x14ac:dyDescent="0.2">
      <c r="A812" t="s">
        <v>1969</v>
      </c>
      <c r="B812" t="s">
        <v>1970</v>
      </c>
      <c r="C812" t="s">
        <v>1971</v>
      </c>
      <c r="D812" t="s">
        <v>61</v>
      </c>
      <c r="E812" t="s">
        <v>133</v>
      </c>
      <c r="K812" t="s">
        <v>1972</v>
      </c>
      <c r="M812" t="s">
        <v>282</v>
      </c>
      <c r="O812" t="s">
        <v>150</v>
      </c>
      <c r="S812" t="s">
        <v>1658</v>
      </c>
      <c r="T812" t="s">
        <v>265</v>
      </c>
    </row>
    <row r="813" spans="1:20" x14ac:dyDescent="0.2">
      <c r="A813" t="s">
        <v>1973</v>
      </c>
      <c r="B813" t="s">
        <v>1974</v>
      </c>
      <c r="C813" t="s">
        <v>1975</v>
      </c>
      <c r="D813" t="s">
        <v>24</v>
      </c>
      <c r="E813" t="s">
        <v>133</v>
      </c>
      <c r="M813" t="s">
        <v>282</v>
      </c>
      <c r="O813" t="s">
        <v>511</v>
      </c>
      <c r="Q813" t="s">
        <v>1976</v>
      </c>
      <c r="S813" t="s">
        <v>1658</v>
      </c>
      <c r="T813" t="s">
        <v>265</v>
      </c>
    </row>
    <row r="814" spans="1:20" x14ac:dyDescent="0.2">
      <c r="A814" t="s">
        <v>1977</v>
      </c>
      <c r="B814" t="s">
        <v>1978</v>
      </c>
      <c r="C814" t="s">
        <v>1979</v>
      </c>
      <c r="D814" t="s">
        <v>24</v>
      </c>
      <c r="E814" t="s">
        <v>133</v>
      </c>
      <c r="M814" t="s">
        <v>282</v>
      </c>
      <c r="O814" t="s">
        <v>161</v>
      </c>
      <c r="S814" t="s">
        <v>1658</v>
      </c>
      <c r="T814" t="s">
        <v>265</v>
      </c>
    </row>
    <row r="815" spans="1:20" x14ac:dyDescent="0.2">
      <c r="A815" t="s">
        <v>1980</v>
      </c>
      <c r="B815" t="s">
        <v>1981</v>
      </c>
      <c r="C815" t="s">
        <v>1982</v>
      </c>
      <c r="D815" t="s">
        <v>61</v>
      </c>
      <c r="E815" t="s">
        <v>133</v>
      </c>
      <c r="K815" t="s">
        <v>1983</v>
      </c>
      <c r="M815" t="s">
        <v>282</v>
      </c>
      <c r="O815" t="s">
        <v>161</v>
      </c>
      <c r="P815" t="s">
        <v>1984</v>
      </c>
      <c r="S815" t="s">
        <v>1658</v>
      </c>
      <c r="T815" t="s">
        <v>265</v>
      </c>
    </row>
    <row r="816" spans="1:20" x14ac:dyDescent="0.2">
      <c r="A816" t="s">
        <v>1985</v>
      </c>
      <c r="B816" t="s">
        <v>1986</v>
      </c>
      <c r="C816" t="s">
        <v>1987</v>
      </c>
      <c r="D816" t="s">
        <v>61</v>
      </c>
      <c r="E816" t="s">
        <v>133</v>
      </c>
      <c r="K816" t="s">
        <v>1988</v>
      </c>
      <c r="M816" t="s">
        <v>282</v>
      </c>
      <c r="O816" t="s">
        <v>150</v>
      </c>
      <c r="S816" t="s">
        <v>1658</v>
      </c>
      <c r="T816" t="s">
        <v>265</v>
      </c>
    </row>
    <row r="817" spans="1:20" x14ac:dyDescent="0.2">
      <c r="A817" t="s">
        <v>1989</v>
      </c>
      <c r="B817" t="s">
        <v>1990</v>
      </c>
      <c r="C817" t="s">
        <v>1991</v>
      </c>
      <c r="D817" t="s">
        <v>24</v>
      </c>
      <c r="E817" t="s">
        <v>133</v>
      </c>
      <c r="M817" t="s">
        <v>282</v>
      </c>
      <c r="O817" t="s">
        <v>511</v>
      </c>
      <c r="Q817" t="s">
        <v>1992</v>
      </c>
      <c r="S817" t="s">
        <v>1658</v>
      </c>
      <c r="T817" t="s">
        <v>265</v>
      </c>
    </row>
    <row r="818" spans="1:20" x14ac:dyDescent="0.2">
      <c r="A818" t="s">
        <v>1993</v>
      </c>
      <c r="B818" t="s">
        <v>1994</v>
      </c>
      <c r="C818" t="s">
        <v>1995</v>
      </c>
      <c r="D818" t="s">
        <v>24</v>
      </c>
      <c r="E818" t="s">
        <v>133</v>
      </c>
      <c r="M818" t="s">
        <v>282</v>
      </c>
      <c r="O818" t="s">
        <v>161</v>
      </c>
      <c r="S818" t="s">
        <v>1658</v>
      </c>
      <c r="T818" t="s">
        <v>265</v>
      </c>
    </row>
    <row r="819" spans="1:20" x14ac:dyDescent="0.2">
      <c r="A819" t="s">
        <v>1996</v>
      </c>
      <c r="B819" t="s">
        <v>1997</v>
      </c>
      <c r="C819" t="s">
        <v>1998</v>
      </c>
      <c r="D819" t="s">
        <v>24</v>
      </c>
      <c r="E819" t="s">
        <v>133</v>
      </c>
      <c r="M819" t="s">
        <v>137</v>
      </c>
      <c r="O819" t="s">
        <v>150</v>
      </c>
      <c r="S819" t="s">
        <v>1658</v>
      </c>
      <c r="T819" t="s">
        <v>265</v>
      </c>
    </row>
    <row r="820" spans="1:20" x14ac:dyDescent="0.2">
      <c r="A820" t="s">
        <v>1999</v>
      </c>
      <c r="B820" t="s">
        <v>2000</v>
      </c>
      <c r="C820" t="s">
        <v>2001</v>
      </c>
      <c r="D820" t="s">
        <v>14</v>
      </c>
      <c r="E820" t="s">
        <v>133</v>
      </c>
      <c r="K820" t="s">
        <v>2002</v>
      </c>
      <c r="M820" t="s">
        <v>137</v>
      </c>
      <c r="O820" t="s">
        <v>150</v>
      </c>
      <c r="S820" t="s">
        <v>1658</v>
      </c>
      <c r="T820" t="s">
        <v>265</v>
      </c>
    </row>
    <row r="821" spans="1:20" x14ac:dyDescent="0.2">
      <c r="A821" t="s">
        <v>2003</v>
      </c>
      <c r="B821" t="s">
        <v>2004</v>
      </c>
      <c r="C821" t="s">
        <v>2005</v>
      </c>
      <c r="D821" t="s">
        <v>35</v>
      </c>
      <c r="E821" t="s">
        <v>133</v>
      </c>
      <c r="M821" t="s">
        <v>137</v>
      </c>
      <c r="O821" t="s">
        <v>511</v>
      </c>
      <c r="Q821" t="s">
        <v>2006</v>
      </c>
      <c r="T821" t="s">
        <v>265</v>
      </c>
    </row>
    <row r="822" spans="1:20" x14ac:dyDescent="0.2">
      <c r="A822" t="s">
        <v>36</v>
      </c>
      <c r="B822" t="s">
        <v>37</v>
      </c>
      <c r="C822" t="s">
        <v>38</v>
      </c>
      <c r="D822" t="s">
        <v>35</v>
      </c>
      <c r="E822" t="s">
        <v>133</v>
      </c>
      <c r="F822" t="s">
        <v>1700</v>
      </c>
      <c r="G822" t="s">
        <v>133</v>
      </c>
      <c r="H822" t="s">
        <v>133</v>
      </c>
      <c r="M822" t="s">
        <v>137</v>
      </c>
      <c r="O822" t="s">
        <v>161</v>
      </c>
      <c r="S822" t="s">
        <v>1702</v>
      </c>
      <c r="T822" t="s">
        <v>265</v>
      </c>
    </row>
    <row r="823" spans="1:20" x14ac:dyDescent="0.2">
      <c r="A823" t="s">
        <v>69</v>
      </c>
      <c r="B823" t="s">
        <v>70</v>
      </c>
      <c r="C823" t="s">
        <v>71</v>
      </c>
      <c r="D823" t="s">
        <v>61</v>
      </c>
      <c r="E823" t="s">
        <v>133</v>
      </c>
      <c r="F823" t="s">
        <v>133</v>
      </c>
      <c r="G823" t="s">
        <v>133</v>
      </c>
      <c r="K823" t="s">
        <v>72</v>
      </c>
      <c r="L823" t="s">
        <v>160</v>
      </c>
      <c r="M823" t="s">
        <v>137</v>
      </c>
      <c r="O823" t="s">
        <v>161</v>
      </c>
      <c r="P823">
        <v>410500</v>
      </c>
    </row>
    <row r="824" spans="1:20" x14ac:dyDescent="0.2">
      <c r="A824" t="s">
        <v>51</v>
      </c>
      <c r="B824" t="s">
        <v>52</v>
      </c>
      <c r="C824" t="s">
        <v>53</v>
      </c>
      <c r="D824" t="s">
        <v>24</v>
      </c>
      <c r="E824" t="s">
        <v>133</v>
      </c>
      <c r="F824" t="s">
        <v>2007</v>
      </c>
      <c r="G824" t="s">
        <v>133</v>
      </c>
      <c r="O824" t="s">
        <v>511</v>
      </c>
      <c r="Q824" t="s">
        <v>2008</v>
      </c>
      <c r="S824" t="s">
        <v>538</v>
      </c>
      <c r="T824" t="s">
        <v>265</v>
      </c>
    </row>
    <row r="825" spans="1:20" x14ac:dyDescent="0.2">
      <c r="A825" t="s">
        <v>101</v>
      </c>
      <c r="B825" t="s">
        <v>102</v>
      </c>
      <c r="C825" t="s">
        <v>103</v>
      </c>
      <c r="D825" t="s">
        <v>35</v>
      </c>
      <c r="E825" t="s">
        <v>133</v>
      </c>
      <c r="F825" t="s">
        <v>510</v>
      </c>
      <c r="G825" t="s">
        <v>133</v>
      </c>
      <c r="O825" t="s">
        <v>511</v>
      </c>
      <c r="Q825" t="s">
        <v>2009</v>
      </c>
      <c r="S825" t="s">
        <v>538</v>
      </c>
      <c r="T825" t="s">
        <v>265</v>
      </c>
    </row>
    <row r="826" spans="1:20" x14ac:dyDescent="0.2">
      <c r="A826" t="s">
        <v>101</v>
      </c>
      <c r="B826" t="s">
        <v>102</v>
      </c>
      <c r="C826" t="s">
        <v>103</v>
      </c>
      <c r="D826" t="s">
        <v>35</v>
      </c>
      <c r="E826" t="s">
        <v>133</v>
      </c>
      <c r="F826" t="s">
        <v>606</v>
      </c>
      <c r="G826" t="s">
        <v>133</v>
      </c>
      <c r="O826" t="s">
        <v>511</v>
      </c>
      <c r="Q826" t="s">
        <v>2009</v>
      </c>
      <c r="S826" t="s">
        <v>538</v>
      </c>
      <c r="T826" t="s">
        <v>265</v>
      </c>
    </row>
    <row r="827" spans="1:20" x14ac:dyDescent="0.2">
      <c r="A827" t="s">
        <v>101</v>
      </c>
      <c r="B827" t="s">
        <v>102</v>
      </c>
      <c r="C827" t="s">
        <v>103</v>
      </c>
      <c r="D827" t="s">
        <v>35</v>
      </c>
      <c r="E827" t="s">
        <v>133</v>
      </c>
      <c r="F827" t="s">
        <v>997</v>
      </c>
      <c r="G827" t="s">
        <v>133</v>
      </c>
      <c r="O827" t="s">
        <v>511</v>
      </c>
      <c r="Q827" t="s">
        <v>2009</v>
      </c>
      <c r="S827" t="s">
        <v>998</v>
      </c>
      <c r="T827" t="s">
        <v>265</v>
      </c>
    </row>
    <row r="828" spans="1:20" x14ac:dyDescent="0.2">
      <c r="A828" t="s">
        <v>101</v>
      </c>
      <c r="B828" t="s">
        <v>102</v>
      </c>
      <c r="C828" t="s">
        <v>103</v>
      </c>
      <c r="D828" t="s">
        <v>35</v>
      </c>
      <c r="E828" t="s">
        <v>133</v>
      </c>
      <c r="F828" t="s">
        <v>2010</v>
      </c>
      <c r="G828" t="s">
        <v>133</v>
      </c>
      <c r="O828" t="s">
        <v>511</v>
      </c>
      <c r="Q828" t="s">
        <v>2009</v>
      </c>
      <c r="S828" t="s">
        <v>538</v>
      </c>
      <c r="T828" t="s">
        <v>265</v>
      </c>
    </row>
    <row r="829" spans="1:20" x14ac:dyDescent="0.2">
      <c r="A829" t="s">
        <v>87</v>
      </c>
      <c r="B829" t="s">
        <v>88</v>
      </c>
      <c r="C829" t="s">
        <v>89</v>
      </c>
      <c r="D829" t="s">
        <v>24</v>
      </c>
      <c r="E829" t="s">
        <v>133</v>
      </c>
      <c r="F829" t="s">
        <v>510</v>
      </c>
      <c r="G829" t="s">
        <v>133</v>
      </c>
      <c r="O829" t="s">
        <v>511</v>
      </c>
      <c r="Q829" t="s">
        <v>2011</v>
      </c>
      <c r="S829" t="s">
        <v>538</v>
      </c>
      <c r="T829" t="s">
        <v>265</v>
      </c>
    </row>
    <row r="830" spans="1:20" x14ac:dyDescent="0.2">
      <c r="A830" t="s">
        <v>87</v>
      </c>
      <c r="B830" t="s">
        <v>88</v>
      </c>
      <c r="C830" t="s">
        <v>89</v>
      </c>
      <c r="D830" t="s">
        <v>24</v>
      </c>
      <c r="E830" t="s">
        <v>133</v>
      </c>
      <c r="F830" t="s">
        <v>606</v>
      </c>
      <c r="G830" t="s">
        <v>133</v>
      </c>
      <c r="O830" t="s">
        <v>511</v>
      </c>
      <c r="Q830" t="s">
        <v>2011</v>
      </c>
      <c r="S830" t="s">
        <v>538</v>
      </c>
      <c r="T830" t="s">
        <v>265</v>
      </c>
    </row>
    <row r="831" spans="1:20" x14ac:dyDescent="0.2">
      <c r="A831" t="s">
        <v>87</v>
      </c>
      <c r="B831" t="s">
        <v>88</v>
      </c>
      <c r="C831" t="s">
        <v>89</v>
      </c>
      <c r="D831" t="s">
        <v>24</v>
      </c>
      <c r="E831" t="s">
        <v>133</v>
      </c>
      <c r="F831" t="s">
        <v>997</v>
      </c>
      <c r="G831" t="s">
        <v>133</v>
      </c>
      <c r="O831" t="s">
        <v>511</v>
      </c>
      <c r="Q831" t="s">
        <v>2011</v>
      </c>
      <c r="S831" t="s">
        <v>998</v>
      </c>
      <c r="T831" t="s">
        <v>265</v>
      </c>
    </row>
    <row r="832" spans="1:20" x14ac:dyDescent="0.2">
      <c r="A832" t="s">
        <v>87</v>
      </c>
      <c r="B832" t="s">
        <v>88</v>
      </c>
      <c r="C832" t="s">
        <v>89</v>
      </c>
      <c r="D832" t="s">
        <v>24</v>
      </c>
      <c r="E832" t="s">
        <v>133</v>
      </c>
      <c r="F832" t="s">
        <v>2010</v>
      </c>
      <c r="G832" t="s">
        <v>133</v>
      </c>
      <c r="O832" t="s">
        <v>511</v>
      </c>
      <c r="Q832" t="s">
        <v>2011</v>
      </c>
      <c r="S832" t="s">
        <v>538</v>
      </c>
      <c r="T832" t="s">
        <v>265</v>
      </c>
    </row>
    <row r="833" spans="1:20" x14ac:dyDescent="0.2">
      <c r="A833" t="s">
        <v>108</v>
      </c>
      <c r="B833" t="s">
        <v>109</v>
      </c>
      <c r="C833" t="s">
        <v>110</v>
      </c>
      <c r="D833" t="s">
        <v>24</v>
      </c>
      <c r="E833" t="s">
        <v>133</v>
      </c>
      <c r="F833" t="s">
        <v>510</v>
      </c>
      <c r="G833" t="s">
        <v>133</v>
      </c>
      <c r="O833" t="s">
        <v>511</v>
      </c>
      <c r="Q833" t="s">
        <v>2012</v>
      </c>
      <c r="S833" t="s">
        <v>538</v>
      </c>
      <c r="T833" t="s">
        <v>265</v>
      </c>
    </row>
    <row r="834" spans="1:20" x14ac:dyDescent="0.2">
      <c r="A834" t="s">
        <v>108</v>
      </c>
      <c r="B834" t="s">
        <v>109</v>
      </c>
      <c r="C834" t="s">
        <v>110</v>
      </c>
      <c r="D834" t="s">
        <v>24</v>
      </c>
      <c r="E834" t="s">
        <v>133</v>
      </c>
      <c r="F834" t="s">
        <v>606</v>
      </c>
      <c r="G834" t="s">
        <v>133</v>
      </c>
      <c r="O834" t="s">
        <v>511</v>
      </c>
      <c r="Q834" t="s">
        <v>2012</v>
      </c>
      <c r="S834" t="s">
        <v>538</v>
      </c>
      <c r="T834" t="s">
        <v>265</v>
      </c>
    </row>
    <row r="835" spans="1:20" x14ac:dyDescent="0.2">
      <c r="A835" t="s">
        <v>108</v>
      </c>
      <c r="B835" t="s">
        <v>109</v>
      </c>
      <c r="C835" t="s">
        <v>110</v>
      </c>
      <c r="D835" t="s">
        <v>24</v>
      </c>
      <c r="E835" t="s">
        <v>133</v>
      </c>
      <c r="F835" t="s">
        <v>997</v>
      </c>
      <c r="G835" t="s">
        <v>133</v>
      </c>
      <c r="O835" t="s">
        <v>511</v>
      </c>
      <c r="Q835" t="s">
        <v>2012</v>
      </c>
      <c r="S835" t="s">
        <v>998</v>
      </c>
      <c r="T835" t="s">
        <v>265</v>
      </c>
    </row>
    <row r="836" spans="1:20" x14ac:dyDescent="0.2">
      <c r="A836" t="s">
        <v>108</v>
      </c>
      <c r="B836" t="s">
        <v>109</v>
      </c>
      <c r="C836" t="s">
        <v>110</v>
      </c>
      <c r="D836" t="s">
        <v>24</v>
      </c>
      <c r="E836" t="s">
        <v>133</v>
      </c>
      <c r="F836" t="s">
        <v>2010</v>
      </c>
      <c r="G836" t="s">
        <v>133</v>
      </c>
      <c r="O836" t="s">
        <v>511</v>
      </c>
      <c r="Q836" t="s">
        <v>2012</v>
      </c>
      <c r="S836" t="s">
        <v>538</v>
      </c>
      <c r="T836" t="s">
        <v>265</v>
      </c>
    </row>
    <row r="837" spans="1:20" x14ac:dyDescent="0.2">
      <c r="A837" t="s">
        <v>2013</v>
      </c>
      <c r="B837" t="s">
        <v>2014</v>
      </c>
      <c r="C837" t="s">
        <v>2015</v>
      </c>
      <c r="D837" t="s">
        <v>35</v>
      </c>
      <c r="E837" t="s">
        <v>133</v>
      </c>
      <c r="F837" t="s">
        <v>510</v>
      </c>
      <c r="M837" t="s">
        <v>137</v>
      </c>
      <c r="O837" t="s">
        <v>150</v>
      </c>
      <c r="Q837" t="s">
        <v>2016</v>
      </c>
      <c r="R837" t="s">
        <v>2017</v>
      </c>
      <c r="S837" t="s">
        <v>506</v>
      </c>
      <c r="T837" t="s">
        <v>265</v>
      </c>
    </row>
    <row r="838" spans="1:20" x14ac:dyDescent="0.2">
      <c r="A838" t="s">
        <v>2013</v>
      </c>
      <c r="B838" t="s">
        <v>2014</v>
      </c>
      <c r="C838" t="s">
        <v>2015</v>
      </c>
      <c r="D838" t="s">
        <v>35</v>
      </c>
      <c r="E838" t="s">
        <v>133</v>
      </c>
      <c r="F838" t="s">
        <v>606</v>
      </c>
      <c r="M838" t="s">
        <v>137</v>
      </c>
      <c r="O838" t="s">
        <v>150</v>
      </c>
      <c r="Q838" t="s">
        <v>2016</v>
      </c>
      <c r="R838" t="s">
        <v>2017</v>
      </c>
      <c r="S838" t="s">
        <v>607</v>
      </c>
      <c r="T838" t="s">
        <v>265</v>
      </c>
    </row>
    <row r="839" spans="1:20" x14ac:dyDescent="0.2">
      <c r="A839" t="s">
        <v>2013</v>
      </c>
      <c r="B839" t="s">
        <v>2014</v>
      </c>
      <c r="C839" t="s">
        <v>2015</v>
      </c>
      <c r="D839" t="s">
        <v>35</v>
      </c>
      <c r="E839" t="s">
        <v>133</v>
      </c>
      <c r="F839" t="s">
        <v>997</v>
      </c>
      <c r="M839" t="s">
        <v>137</v>
      </c>
      <c r="O839" t="s">
        <v>150</v>
      </c>
      <c r="Q839" t="s">
        <v>2016</v>
      </c>
      <c r="R839" t="s">
        <v>2017</v>
      </c>
      <c r="S839" t="s">
        <v>998</v>
      </c>
      <c r="T839" t="s">
        <v>265</v>
      </c>
    </row>
    <row r="840" spans="1:20" x14ac:dyDescent="0.2">
      <c r="A840" t="s">
        <v>2013</v>
      </c>
      <c r="B840" t="s">
        <v>2014</v>
      </c>
      <c r="C840" t="s">
        <v>2015</v>
      </c>
      <c r="D840" t="s">
        <v>35</v>
      </c>
      <c r="E840" t="s">
        <v>133</v>
      </c>
      <c r="F840" t="s">
        <v>2018</v>
      </c>
      <c r="M840" t="s">
        <v>137</v>
      </c>
      <c r="O840" t="s">
        <v>150</v>
      </c>
      <c r="Q840" t="s">
        <v>2016</v>
      </c>
      <c r="R840" t="s">
        <v>2017</v>
      </c>
      <c r="S840" t="s">
        <v>615</v>
      </c>
      <c r="T840" t="s">
        <v>265</v>
      </c>
    </row>
    <row r="841" spans="1:20" x14ac:dyDescent="0.2">
      <c r="A841" t="s">
        <v>2019</v>
      </c>
      <c r="B841" t="s">
        <v>2020</v>
      </c>
      <c r="C841" t="s">
        <v>1015</v>
      </c>
      <c r="D841" t="s">
        <v>35</v>
      </c>
      <c r="E841" t="s">
        <v>505</v>
      </c>
      <c r="F841" t="s">
        <v>133</v>
      </c>
      <c r="G841" t="s">
        <v>1745</v>
      </c>
      <c r="H841" t="s">
        <v>133</v>
      </c>
      <c r="M841" t="s">
        <v>137</v>
      </c>
      <c r="O841" t="s">
        <v>161</v>
      </c>
      <c r="S841" t="s">
        <v>1005</v>
      </c>
      <c r="T841" t="s">
        <v>265</v>
      </c>
    </row>
    <row r="842" spans="1:20" x14ac:dyDescent="0.2">
      <c r="A842" t="s">
        <v>2019</v>
      </c>
      <c r="B842" t="s">
        <v>2020</v>
      </c>
      <c r="C842" t="s">
        <v>1015</v>
      </c>
      <c r="D842" t="s">
        <v>61</v>
      </c>
      <c r="E842" t="s">
        <v>255</v>
      </c>
      <c r="F842" t="s">
        <v>133</v>
      </c>
      <c r="G842" t="s">
        <v>1745</v>
      </c>
      <c r="H842" t="s">
        <v>133</v>
      </c>
      <c r="K842" t="s">
        <v>276</v>
      </c>
      <c r="M842" t="s">
        <v>137</v>
      </c>
      <c r="O842" t="s">
        <v>161</v>
      </c>
    </row>
    <row r="843" spans="1:20" x14ac:dyDescent="0.2">
      <c r="A843" t="s">
        <v>2021</v>
      </c>
      <c r="B843" t="s">
        <v>2022</v>
      </c>
      <c r="C843" t="s">
        <v>2023</v>
      </c>
      <c r="D843" t="s">
        <v>14</v>
      </c>
      <c r="E843" t="s">
        <v>133</v>
      </c>
      <c r="K843" t="s">
        <v>2024</v>
      </c>
      <c r="M843" t="s">
        <v>136</v>
      </c>
    </row>
    <row r="844" spans="1:20" x14ac:dyDescent="0.2">
      <c r="A844" t="s">
        <v>2025</v>
      </c>
      <c r="B844" t="s">
        <v>2026</v>
      </c>
      <c r="C844" t="s">
        <v>2027</v>
      </c>
      <c r="D844" t="s">
        <v>14</v>
      </c>
      <c r="E844" t="s">
        <v>133</v>
      </c>
      <c r="K844" t="s">
        <v>2028</v>
      </c>
      <c r="M844" t="s">
        <v>282</v>
      </c>
      <c r="O844" t="s">
        <v>161</v>
      </c>
    </row>
    <row r="845" spans="1:20" x14ac:dyDescent="0.2">
      <c r="A845" t="s">
        <v>2029</v>
      </c>
      <c r="B845" t="s">
        <v>2030</v>
      </c>
      <c r="C845" t="s">
        <v>2031</v>
      </c>
      <c r="D845" t="s">
        <v>14</v>
      </c>
      <c r="E845" t="s">
        <v>133</v>
      </c>
      <c r="K845" t="s">
        <v>2032</v>
      </c>
      <c r="M845" t="s">
        <v>282</v>
      </c>
      <c r="O845" t="s">
        <v>161</v>
      </c>
    </row>
    <row r="846" spans="1:20" x14ac:dyDescent="0.2">
      <c r="A846" t="s">
        <v>2033</v>
      </c>
      <c r="B846" t="s">
        <v>2034</v>
      </c>
      <c r="C846" t="s">
        <v>2035</v>
      </c>
      <c r="D846" t="s">
        <v>14</v>
      </c>
      <c r="E846" t="s">
        <v>133</v>
      </c>
      <c r="K846" t="s">
        <v>2036</v>
      </c>
      <c r="M846" t="s">
        <v>137</v>
      </c>
      <c r="O846" t="s">
        <v>161</v>
      </c>
    </row>
    <row r="847" spans="1:20" x14ac:dyDescent="0.2">
      <c r="A847" t="s">
        <v>2037</v>
      </c>
      <c r="B847" t="s">
        <v>2038</v>
      </c>
      <c r="C847" t="s">
        <v>2039</v>
      </c>
      <c r="D847" t="s">
        <v>24</v>
      </c>
      <c r="E847" t="s">
        <v>133</v>
      </c>
      <c r="M847" t="s">
        <v>137</v>
      </c>
      <c r="O847" t="s">
        <v>161</v>
      </c>
      <c r="S847" t="s">
        <v>2040</v>
      </c>
    </row>
    <row r="848" spans="1:20" x14ac:dyDescent="0.2">
      <c r="A848" t="s">
        <v>2041</v>
      </c>
      <c r="B848" t="s">
        <v>2042</v>
      </c>
      <c r="C848" t="s">
        <v>2043</v>
      </c>
      <c r="D848" t="s">
        <v>14</v>
      </c>
      <c r="E848" t="s">
        <v>133</v>
      </c>
      <c r="K848" t="s">
        <v>2044</v>
      </c>
      <c r="M848" t="s">
        <v>282</v>
      </c>
      <c r="O848" t="s">
        <v>161</v>
      </c>
    </row>
    <row r="849" spans="1:19" x14ac:dyDescent="0.2">
      <c r="A849" t="s">
        <v>2045</v>
      </c>
      <c r="B849" t="s">
        <v>2046</v>
      </c>
      <c r="C849" t="s">
        <v>2047</v>
      </c>
      <c r="D849" t="s">
        <v>14</v>
      </c>
      <c r="E849" t="s">
        <v>133</v>
      </c>
      <c r="K849" t="s">
        <v>2048</v>
      </c>
      <c r="M849" t="s">
        <v>282</v>
      </c>
      <c r="O849" t="s">
        <v>161</v>
      </c>
    </row>
    <row r="850" spans="1:19" x14ac:dyDescent="0.2">
      <c r="A850" t="s">
        <v>2049</v>
      </c>
      <c r="B850" t="s">
        <v>2050</v>
      </c>
      <c r="C850" t="s">
        <v>2051</v>
      </c>
      <c r="D850" t="s">
        <v>14</v>
      </c>
      <c r="E850" t="s">
        <v>133</v>
      </c>
      <c r="K850" t="s">
        <v>2052</v>
      </c>
      <c r="M850" t="s">
        <v>282</v>
      </c>
      <c r="O850" t="s">
        <v>161</v>
      </c>
      <c r="P850">
        <v>4507021</v>
      </c>
    </row>
    <row r="851" spans="1:19" x14ac:dyDescent="0.2">
      <c r="A851" t="s">
        <v>2053</v>
      </c>
      <c r="B851" t="s">
        <v>2054</v>
      </c>
      <c r="C851" t="s">
        <v>2055</v>
      </c>
      <c r="D851" t="s">
        <v>24</v>
      </c>
      <c r="E851" t="s">
        <v>133</v>
      </c>
      <c r="M851" t="s">
        <v>282</v>
      </c>
      <c r="O851" t="s">
        <v>161</v>
      </c>
      <c r="Q851" t="s">
        <v>2056</v>
      </c>
      <c r="S851" t="s">
        <v>2040</v>
      </c>
    </row>
    <row r="852" spans="1:19" x14ac:dyDescent="0.2">
      <c r="A852" t="s">
        <v>2057</v>
      </c>
      <c r="B852" t="s">
        <v>2058</v>
      </c>
      <c r="C852" t="s">
        <v>2059</v>
      </c>
      <c r="D852" t="s">
        <v>14</v>
      </c>
      <c r="E852" t="s">
        <v>133</v>
      </c>
      <c r="K852" t="s">
        <v>2060</v>
      </c>
      <c r="M852" t="s">
        <v>282</v>
      </c>
      <c r="O852" t="s">
        <v>150</v>
      </c>
    </row>
    <row r="853" spans="1:19" x14ac:dyDescent="0.2">
      <c r="A853" t="s">
        <v>2061</v>
      </c>
      <c r="B853" t="s">
        <v>2062</v>
      </c>
      <c r="C853" t="s">
        <v>2063</v>
      </c>
      <c r="D853" t="s">
        <v>24</v>
      </c>
      <c r="E853" t="s">
        <v>133</v>
      </c>
      <c r="M853" t="s">
        <v>282</v>
      </c>
      <c r="O853" t="s">
        <v>150</v>
      </c>
      <c r="Q853" t="s">
        <v>2064</v>
      </c>
      <c r="S853" t="s">
        <v>2040</v>
      </c>
    </row>
    <row r="854" spans="1:19" x14ac:dyDescent="0.2">
      <c r="A854" t="s">
        <v>2065</v>
      </c>
      <c r="B854" t="s">
        <v>2066</v>
      </c>
      <c r="C854" t="s">
        <v>2067</v>
      </c>
      <c r="D854" t="s">
        <v>14</v>
      </c>
      <c r="E854" t="s">
        <v>133</v>
      </c>
      <c r="K854" t="s">
        <v>2068</v>
      </c>
      <c r="M854" t="s">
        <v>282</v>
      </c>
      <c r="O854" t="s">
        <v>150</v>
      </c>
    </row>
    <row r="855" spans="1:19" x14ac:dyDescent="0.2">
      <c r="A855" t="s">
        <v>2069</v>
      </c>
      <c r="B855" t="s">
        <v>2070</v>
      </c>
      <c r="C855" t="s">
        <v>2071</v>
      </c>
      <c r="D855" t="s">
        <v>24</v>
      </c>
      <c r="E855" t="s">
        <v>133</v>
      </c>
      <c r="M855" t="s">
        <v>282</v>
      </c>
      <c r="O855" t="s">
        <v>150</v>
      </c>
      <c r="Q855" t="s">
        <v>2072</v>
      </c>
      <c r="S855" t="s">
        <v>2040</v>
      </c>
    </row>
    <row r="856" spans="1:19" x14ac:dyDescent="0.2">
      <c r="A856" t="s">
        <v>2073</v>
      </c>
      <c r="B856" t="s">
        <v>2074</v>
      </c>
      <c r="C856" t="s">
        <v>2075</v>
      </c>
      <c r="D856" t="s">
        <v>24</v>
      </c>
      <c r="E856" t="s">
        <v>133</v>
      </c>
      <c r="M856" t="s">
        <v>282</v>
      </c>
      <c r="O856" t="s">
        <v>150</v>
      </c>
      <c r="S856" t="s">
        <v>2040</v>
      </c>
    </row>
    <row r="857" spans="1:19" x14ac:dyDescent="0.2">
      <c r="A857" t="s">
        <v>2076</v>
      </c>
      <c r="B857" t="s">
        <v>2077</v>
      </c>
      <c r="C857" t="s">
        <v>2078</v>
      </c>
      <c r="D857" t="s">
        <v>14</v>
      </c>
      <c r="E857" t="s">
        <v>133</v>
      </c>
      <c r="K857" t="s">
        <v>2079</v>
      </c>
      <c r="M857" t="s">
        <v>282</v>
      </c>
      <c r="O857" t="s">
        <v>161</v>
      </c>
      <c r="P857">
        <v>4507041</v>
      </c>
    </row>
    <row r="858" spans="1:19" x14ac:dyDescent="0.2">
      <c r="A858" t="s">
        <v>2080</v>
      </c>
      <c r="B858" t="s">
        <v>2081</v>
      </c>
      <c r="C858" t="s">
        <v>2082</v>
      </c>
      <c r="D858" t="s">
        <v>24</v>
      </c>
      <c r="E858" t="s">
        <v>133</v>
      </c>
      <c r="M858" t="s">
        <v>282</v>
      </c>
      <c r="O858" t="s">
        <v>161</v>
      </c>
      <c r="Q858" t="s">
        <v>2083</v>
      </c>
      <c r="S858" t="s">
        <v>2040</v>
      </c>
    </row>
    <row r="859" spans="1:19" x14ac:dyDescent="0.2">
      <c r="A859" t="s">
        <v>2084</v>
      </c>
      <c r="B859" t="s">
        <v>2085</v>
      </c>
      <c r="C859" t="s">
        <v>2086</v>
      </c>
      <c r="D859" t="s">
        <v>14</v>
      </c>
      <c r="E859" t="s">
        <v>133</v>
      </c>
      <c r="K859" t="s">
        <v>2087</v>
      </c>
      <c r="M859" t="s">
        <v>282</v>
      </c>
      <c r="O859" t="s">
        <v>150</v>
      </c>
    </row>
    <row r="860" spans="1:19" x14ac:dyDescent="0.2">
      <c r="A860" t="s">
        <v>2088</v>
      </c>
      <c r="B860" t="s">
        <v>2089</v>
      </c>
      <c r="C860" t="s">
        <v>2090</v>
      </c>
      <c r="D860" t="s">
        <v>24</v>
      </c>
      <c r="E860" t="s">
        <v>133</v>
      </c>
      <c r="M860" t="s">
        <v>282</v>
      </c>
      <c r="O860" t="s">
        <v>150</v>
      </c>
      <c r="Q860" t="s">
        <v>2091</v>
      </c>
      <c r="S860" t="s">
        <v>2040</v>
      </c>
    </row>
    <row r="861" spans="1:19" x14ac:dyDescent="0.2">
      <c r="A861" t="s">
        <v>2092</v>
      </c>
      <c r="B861" t="s">
        <v>2093</v>
      </c>
      <c r="C861" t="s">
        <v>2094</v>
      </c>
      <c r="D861" t="s">
        <v>14</v>
      </c>
      <c r="E861" t="s">
        <v>133</v>
      </c>
      <c r="K861" t="s">
        <v>2095</v>
      </c>
      <c r="M861" t="s">
        <v>282</v>
      </c>
      <c r="O861" t="s">
        <v>150</v>
      </c>
    </row>
    <row r="862" spans="1:19" x14ac:dyDescent="0.2">
      <c r="A862" t="s">
        <v>2096</v>
      </c>
      <c r="B862" t="s">
        <v>2097</v>
      </c>
      <c r="C862" t="s">
        <v>2098</v>
      </c>
      <c r="D862" t="s">
        <v>24</v>
      </c>
      <c r="E862" t="s">
        <v>133</v>
      </c>
      <c r="M862" t="s">
        <v>282</v>
      </c>
      <c r="O862" t="s">
        <v>150</v>
      </c>
      <c r="Q862" t="s">
        <v>2099</v>
      </c>
      <c r="S862" t="s">
        <v>2040</v>
      </c>
    </row>
    <row r="863" spans="1:19" x14ac:dyDescent="0.2">
      <c r="A863" t="s">
        <v>2100</v>
      </c>
      <c r="B863" t="s">
        <v>2101</v>
      </c>
      <c r="C863" t="s">
        <v>2102</v>
      </c>
      <c r="D863" t="s">
        <v>24</v>
      </c>
      <c r="E863" t="s">
        <v>133</v>
      </c>
      <c r="M863" t="s">
        <v>282</v>
      </c>
      <c r="O863" t="s">
        <v>150</v>
      </c>
      <c r="S863" t="s">
        <v>2040</v>
      </c>
    </row>
    <row r="864" spans="1:19" x14ac:dyDescent="0.2">
      <c r="A864" t="s">
        <v>2103</v>
      </c>
      <c r="B864" t="s">
        <v>2104</v>
      </c>
      <c r="C864" t="s">
        <v>2105</v>
      </c>
      <c r="D864" t="s">
        <v>14</v>
      </c>
      <c r="E864" t="s">
        <v>133</v>
      </c>
      <c r="K864" t="s">
        <v>2106</v>
      </c>
      <c r="M864" t="s">
        <v>282</v>
      </c>
      <c r="O864" t="s">
        <v>161</v>
      </c>
      <c r="P864">
        <v>4507011</v>
      </c>
    </row>
    <row r="865" spans="1:19" x14ac:dyDescent="0.2">
      <c r="A865" t="s">
        <v>2107</v>
      </c>
      <c r="B865" t="s">
        <v>2108</v>
      </c>
      <c r="C865" t="s">
        <v>2109</v>
      </c>
      <c r="D865" t="s">
        <v>24</v>
      </c>
      <c r="E865" t="s">
        <v>133</v>
      </c>
      <c r="M865" t="s">
        <v>282</v>
      </c>
      <c r="O865" t="s">
        <v>161</v>
      </c>
      <c r="Q865" t="s">
        <v>2110</v>
      </c>
      <c r="S865" t="s">
        <v>2040</v>
      </c>
    </row>
    <row r="866" spans="1:19" x14ac:dyDescent="0.2">
      <c r="A866" t="s">
        <v>2111</v>
      </c>
      <c r="B866" t="s">
        <v>2112</v>
      </c>
      <c r="C866" t="s">
        <v>2113</v>
      </c>
      <c r="D866" t="s">
        <v>14</v>
      </c>
      <c r="E866" t="s">
        <v>133</v>
      </c>
      <c r="K866" t="s">
        <v>2114</v>
      </c>
      <c r="M866" t="s">
        <v>282</v>
      </c>
      <c r="O866" t="s">
        <v>150</v>
      </c>
    </row>
    <row r="867" spans="1:19" x14ac:dyDescent="0.2">
      <c r="A867" t="s">
        <v>2115</v>
      </c>
      <c r="B867" t="s">
        <v>2116</v>
      </c>
      <c r="C867" t="s">
        <v>2117</v>
      </c>
      <c r="D867" t="s">
        <v>24</v>
      </c>
      <c r="E867" t="s">
        <v>133</v>
      </c>
      <c r="M867" t="s">
        <v>282</v>
      </c>
      <c r="O867" t="s">
        <v>150</v>
      </c>
      <c r="Q867" t="s">
        <v>2118</v>
      </c>
      <c r="S867" t="s">
        <v>2040</v>
      </c>
    </row>
    <row r="868" spans="1:19" x14ac:dyDescent="0.2">
      <c r="A868" t="s">
        <v>2119</v>
      </c>
      <c r="B868" t="s">
        <v>2120</v>
      </c>
      <c r="C868" t="s">
        <v>2121</v>
      </c>
      <c r="D868" t="s">
        <v>14</v>
      </c>
      <c r="E868" t="s">
        <v>133</v>
      </c>
      <c r="K868" t="s">
        <v>2122</v>
      </c>
      <c r="M868" t="s">
        <v>282</v>
      </c>
      <c r="O868" t="s">
        <v>150</v>
      </c>
    </row>
    <row r="869" spans="1:19" x14ac:dyDescent="0.2">
      <c r="A869" t="s">
        <v>2123</v>
      </c>
      <c r="B869" t="s">
        <v>2124</v>
      </c>
      <c r="C869" t="s">
        <v>2125</v>
      </c>
      <c r="D869" t="s">
        <v>24</v>
      </c>
      <c r="E869" t="s">
        <v>133</v>
      </c>
      <c r="M869" t="s">
        <v>282</v>
      </c>
      <c r="O869" t="s">
        <v>150</v>
      </c>
      <c r="Q869" t="s">
        <v>2126</v>
      </c>
      <c r="S869" t="s">
        <v>2040</v>
      </c>
    </row>
    <row r="870" spans="1:19" x14ac:dyDescent="0.2">
      <c r="A870" t="s">
        <v>2127</v>
      </c>
      <c r="B870" t="s">
        <v>2128</v>
      </c>
      <c r="C870" t="s">
        <v>2129</v>
      </c>
      <c r="D870" t="s">
        <v>24</v>
      </c>
      <c r="E870" t="s">
        <v>133</v>
      </c>
      <c r="M870" t="s">
        <v>282</v>
      </c>
      <c r="O870" t="s">
        <v>150</v>
      </c>
      <c r="S870" t="s">
        <v>2040</v>
      </c>
    </row>
    <row r="871" spans="1:19" x14ac:dyDescent="0.2">
      <c r="A871" t="s">
        <v>2130</v>
      </c>
      <c r="B871" t="s">
        <v>2131</v>
      </c>
      <c r="C871" t="s">
        <v>2132</v>
      </c>
      <c r="D871" t="s">
        <v>14</v>
      </c>
      <c r="E871" t="s">
        <v>133</v>
      </c>
      <c r="K871" t="s">
        <v>2133</v>
      </c>
      <c r="M871" t="s">
        <v>282</v>
      </c>
      <c r="O871" t="s">
        <v>161</v>
      </c>
      <c r="P871">
        <v>4507051</v>
      </c>
    </row>
    <row r="872" spans="1:19" x14ac:dyDescent="0.2">
      <c r="A872" t="s">
        <v>2134</v>
      </c>
      <c r="B872" t="s">
        <v>2135</v>
      </c>
      <c r="C872" t="s">
        <v>2136</v>
      </c>
      <c r="D872" t="s">
        <v>24</v>
      </c>
      <c r="E872" t="s">
        <v>133</v>
      </c>
      <c r="M872" t="s">
        <v>282</v>
      </c>
      <c r="O872" t="s">
        <v>161</v>
      </c>
      <c r="Q872" t="s">
        <v>2137</v>
      </c>
      <c r="S872" t="s">
        <v>2040</v>
      </c>
    </row>
    <row r="873" spans="1:19" x14ac:dyDescent="0.2">
      <c r="A873" t="s">
        <v>2138</v>
      </c>
      <c r="B873" t="s">
        <v>2139</v>
      </c>
      <c r="C873" t="s">
        <v>2140</v>
      </c>
      <c r="D873" t="s">
        <v>14</v>
      </c>
      <c r="E873" t="s">
        <v>133</v>
      </c>
      <c r="K873" t="s">
        <v>2141</v>
      </c>
      <c r="M873" t="s">
        <v>282</v>
      </c>
      <c r="O873" t="s">
        <v>150</v>
      </c>
    </row>
    <row r="874" spans="1:19" x14ac:dyDescent="0.2">
      <c r="A874" t="s">
        <v>2142</v>
      </c>
      <c r="B874" t="s">
        <v>2143</v>
      </c>
      <c r="C874" t="s">
        <v>2144</v>
      </c>
      <c r="D874" t="s">
        <v>24</v>
      </c>
      <c r="E874" t="s">
        <v>133</v>
      </c>
      <c r="M874" t="s">
        <v>282</v>
      </c>
      <c r="O874" t="s">
        <v>150</v>
      </c>
      <c r="Q874" t="s">
        <v>2145</v>
      </c>
      <c r="S874" t="s">
        <v>2040</v>
      </c>
    </row>
    <row r="875" spans="1:19" x14ac:dyDescent="0.2">
      <c r="A875" t="s">
        <v>2146</v>
      </c>
      <c r="B875" t="s">
        <v>2147</v>
      </c>
      <c r="C875" t="s">
        <v>2148</v>
      </c>
      <c r="D875" t="s">
        <v>14</v>
      </c>
      <c r="E875" t="s">
        <v>133</v>
      </c>
      <c r="K875" t="s">
        <v>2149</v>
      </c>
      <c r="M875" t="s">
        <v>282</v>
      </c>
      <c r="O875" t="s">
        <v>150</v>
      </c>
    </row>
    <row r="876" spans="1:19" x14ac:dyDescent="0.2">
      <c r="A876" t="s">
        <v>2150</v>
      </c>
      <c r="B876" t="s">
        <v>2151</v>
      </c>
      <c r="C876" t="s">
        <v>2152</v>
      </c>
      <c r="D876" t="s">
        <v>24</v>
      </c>
      <c r="E876" t="s">
        <v>133</v>
      </c>
      <c r="M876" t="s">
        <v>282</v>
      </c>
      <c r="O876" t="s">
        <v>150</v>
      </c>
      <c r="Q876" t="s">
        <v>2153</v>
      </c>
      <c r="S876" t="s">
        <v>2040</v>
      </c>
    </row>
    <row r="877" spans="1:19" x14ac:dyDescent="0.2">
      <c r="A877" t="s">
        <v>2154</v>
      </c>
      <c r="B877" t="s">
        <v>2155</v>
      </c>
      <c r="C877" t="s">
        <v>2156</v>
      </c>
      <c r="D877" t="s">
        <v>24</v>
      </c>
      <c r="E877" t="s">
        <v>133</v>
      </c>
      <c r="M877" t="s">
        <v>282</v>
      </c>
      <c r="O877" t="s">
        <v>150</v>
      </c>
      <c r="S877" t="s">
        <v>2040</v>
      </c>
    </row>
    <row r="878" spans="1:19" x14ac:dyDescent="0.2">
      <c r="A878" t="s">
        <v>2157</v>
      </c>
      <c r="B878" t="s">
        <v>2158</v>
      </c>
      <c r="C878" t="s">
        <v>2159</v>
      </c>
      <c r="D878" t="s">
        <v>14</v>
      </c>
      <c r="E878" t="s">
        <v>133</v>
      </c>
      <c r="K878" t="s">
        <v>2160</v>
      </c>
      <c r="M878" t="s">
        <v>282</v>
      </c>
      <c r="O878" t="s">
        <v>161</v>
      </c>
      <c r="P878">
        <v>4507031</v>
      </c>
    </row>
    <row r="879" spans="1:19" x14ac:dyDescent="0.2">
      <c r="A879" t="s">
        <v>2161</v>
      </c>
      <c r="B879" t="s">
        <v>2162</v>
      </c>
      <c r="C879" t="s">
        <v>2163</v>
      </c>
      <c r="D879" t="s">
        <v>24</v>
      </c>
      <c r="E879" t="s">
        <v>133</v>
      </c>
      <c r="M879" t="s">
        <v>282</v>
      </c>
      <c r="O879" t="s">
        <v>161</v>
      </c>
      <c r="Q879" t="s">
        <v>2164</v>
      </c>
      <c r="S879" t="s">
        <v>2040</v>
      </c>
    </row>
    <row r="880" spans="1:19" x14ac:dyDescent="0.2">
      <c r="A880" t="s">
        <v>2165</v>
      </c>
      <c r="B880" t="s">
        <v>2166</v>
      </c>
      <c r="C880" t="s">
        <v>2167</v>
      </c>
      <c r="D880" t="s">
        <v>14</v>
      </c>
      <c r="E880" t="s">
        <v>133</v>
      </c>
      <c r="K880" t="s">
        <v>2168</v>
      </c>
      <c r="M880" t="s">
        <v>282</v>
      </c>
      <c r="O880" t="s">
        <v>150</v>
      </c>
    </row>
    <row r="881" spans="1:19" x14ac:dyDescent="0.2">
      <c r="A881" t="s">
        <v>2169</v>
      </c>
      <c r="B881" t="s">
        <v>2170</v>
      </c>
      <c r="C881" t="s">
        <v>2171</v>
      </c>
      <c r="D881" t="s">
        <v>24</v>
      </c>
      <c r="E881" t="s">
        <v>133</v>
      </c>
      <c r="M881" t="s">
        <v>282</v>
      </c>
      <c r="O881" t="s">
        <v>150</v>
      </c>
      <c r="Q881" t="s">
        <v>2172</v>
      </c>
      <c r="S881" t="s">
        <v>2040</v>
      </c>
    </row>
    <row r="882" spans="1:19" x14ac:dyDescent="0.2">
      <c r="A882" t="s">
        <v>2173</v>
      </c>
      <c r="B882" t="s">
        <v>2174</v>
      </c>
      <c r="C882" t="s">
        <v>2175</v>
      </c>
      <c r="D882" t="s">
        <v>14</v>
      </c>
      <c r="E882" t="s">
        <v>133</v>
      </c>
      <c r="K882" t="s">
        <v>2176</v>
      </c>
      <c r="M882" t="s">
        <v>282</v>
      </c>
      <c r="O882" t="s">
        <v>150</v>
      </c>
    </row>
    <row r="883" spans="1:19" x14ac:dyDescent="0.2">
      <c r="A883" t="s">
        <v>2177</v>
      </c>
      <c r="B883" t="s">
        <v>2178</v>
      </c>
      <c r="C883" t="s">
        <v>2179</v>
      </c>
      <c r="D883" t="s">
        <v>24</v>
      </c>
      <c r="E883" t="s">
        <v>133</v>
      </c>
      <c r="M883" t="s">
        <v>282</v>
      </c>
      <c r="O883" t="s">
        <v>150</v>
      </c>
      <c r="Q883" t="s">
        <v>2180</v>
      </c>
      <c r="S883" t="s">
        <v>2040</v>
      </c>
    </row>
    <row r="884" spans="1:19" x14ac:dyDescent="0.2">
      <c r="A884" t="s">
        <v>2181</v>
      </c>
      <c r="B884" t="s">
        <v>2182</v>
      </c>
      <c r="C884" t="s">
        <v>2183</v>
      </c>
      <c r="D884" t="s">
        <v>24</v>
      </c>
      <c r="E884" t="s">
        <v>133</v>
      </c>
      <c r="M884" t="s">
        <v>282</v>
      </c>
      <c r="O884" t="s">
        <v>150</v>
      </c>
      <c r="S884" t="s">
        <v>2040</v>
      </c>
    </row>
    <row r="885" spans="1:19" x14ac:dyDescent="0.2">
      <c r="A885" t="s">
        <v>2184</v>
      </c>
      <c r="B885" t="s">
        <v>2185</v>
      </c>
      <c r="C885" t="s">
        <v>2186</v>
      </c>
      <c r="D885" t="s">
        <v>61</v>
      </c>
      <c r="E885" t="s">
        <v>133</v>
      </c>
      <c r="K885" t="s">
        <v>2187</v>
      </c>
      <c r="M885" t="s">
        <v>282</v>
      </c>
      <c r="O885" t="s">
        <v>161</v>
      </c>
    </row>
    <row r="886" spans="1:19" x14ac:dyDescent="0.2">
      <c r="A886" t="s">
        <v>2188</v>
      </c>
      <c r="B886" t="s">
        <v>2189</v>
      </c>
      <c r="C886" t="s">
        <v>2190</v>
      </c>
      <c r="D886" t="s">
        <v>61</v>
      </c>
      <c r="E886" t="s">
        <v>133</v>
      </c>
      <c r="K886" t="s">
        <v>2191</v>
      </c>
      <c r="M886" t="s">
        <v>282</v>
      </c>
      <c r="O886" t="s">
        <v>161</v>
      </c>
      <c r="P886">
        <v>4507022</v>
      </c>
    </row>
    <row r="887" spans="1:19" x14ac:dyDescent="0.2">
      <c r="A887" t="s">
        <v>2192</v>
      </c>
      <c r="B887" t="s">
        <v>2193</v>
      </c>
      <c r="C887" t="s">
        <v>2194</v>
      </c>
      <c r="D887" t="s">
        <v>24</v>
      </c>
      <c r="E887" t="s">
        <v>133</v>
      </c>
      <c r="M887" t="s">
        <v>282</v>
      </c>
      <c r="O887" t="s">
        <v>161</v>
      </c>
      <c r="Q887" t="s">
        <v>2195</v>
      </c>
      <c r="S887" t="s">
        <v>2040</v>
      </c>
    </row>
    <row r="888" spans="1:19" x14ac:dyDescent="0.2">
      <c r="A888" t="s">
        <v>2196</v>
      </c>
      <c r="B888" t="s">
        <v>2197</v>
      </c>
      <c r="C888" t="s">
        <v>2198</v>
      </c>
      <c r="D888" t="s">
        <v>61</v>
      </c>
      <c r="E888" t="s">
        <v>133</v>
      </c>
      <c r="K888" t="s">
        <v>2199</v>
      </c>
      <c r="M888" t="s">
        <v>282</v>
      </c>
      <c r="O888" t="s">
        <v>161</v>
      </c>
      <c r="P888">
        <v>4507042</v>
      </c>
    </row>
    <row r="889" spans="1:19" x14ac:dyDescent="0.2">
      <c r="A889" t="s">
        <v>2200</v>
      </c>
      <c r="B889" t="s">
        <v>2201</v>
      </c>
      <c r="C889" t="s">
        <v>2202</v>
      </c>
      <c r="D889" t="s">
        <v>24</v>
      </c>
      <c r="E889" t="s">
        <v>133</v>
      </c>
      <c r="M889" t="s">
        <v>282</v>
      </c>
      <c r="O889" t="s">
        <v>161</v>
      </c>
      <c r="Q889" t="s">
        <v>2203</v>
      </c>
      <c r="S889" t="s">
        <v>2040</v>
      </c>
    </row>
    <row r="890" spans="1:19" x14ac:dyDescent="0.2">
      <c r="A890" t="s">
        <v>2204</v>
      </c>
      <c r="B890" t="s">
        <v>2205</v>
      </c>
      <c r="C890" t="s">
        <v>2206</v>
      </c>
      <c r="D890" t="s">
        <v>61</v>
      </c>
      <c r="E890" t="s">
        <v>133</v>
      </c>
      <c r="K890" t="s">
        <v>2207</v>
      </c>
      <c r="M890" t="s">
        <v>282</v>
      </c>
      <c r="O890" t="s">
        <v>161</v>
      </c>
      <c r="P890">
        <v>4507012</v>
      </c>
    </row>
    <row r="891" spans="1:19" x14ac:dyDescent="0.2">
      <c r="A891" t="s">
        <v>2208</v>
      </c>
      <c r="B891" t="s">
        <v>2209</v>
      </c>
      <c r="C891" t="s">
        <v>2210</v>
      </c>
      <c r="D891" t="s">
        <v>24</v>
      </c>
      <c r="E891" t="s">
        <v>133</v>
      </c>
      <c r="M891" t="s">
        <v>282</v>
      </c>
      <c r="O891" t="s">
        <v>161</v>
      </c>
      <c r="Q891" t="s">
        <v>2211</v>
      </c>
      <c r="S891" t="s">
        <v>2040</v>
      </c>
    </row>
    <row r="892" spans="1:19" x14ac:dyDescent="0.2">
      <c r="A892" t="s">
        <v>2212</v>
      </c>
      <c r="B892" t="s">
        <v>2213</v>
      </c>
      <c r="C892" t="s">
        <v>2214</v>
      </c>
      <c r="D892" t="s">
        <v>61</v>
      </c>
      <c r="E892" t="s">
        <v>133</v>
      </c>
      <c r="K892" t="s">
        <v>2215</v>
      </c>
      <c r="M892" t="s">
        <v>282</v>
      </c>
      <c r="O892" t="s">
        <v>161</v>
      </c>
      <c r="P892">
        <v>4507052</v>
      </c>
    </row>
    <row r="893" spans="1:19" x14ac:dyDescent="0.2">
      <c r="A893" t="s">
        <v>2216</v>
      </c>
      <c r="B893" t="s">
        <v>2217</v>
      </c>
      <c r="C893" t="s">
        <v>2218</v>
      </c>
      <c r="D893" t="s">
        <v>24</v>
      </c>
      <c r="E893" t="s">
        <v>133</v>
      </c>
      <c r="M893" t="s">
        <v>282</v>
      </c>
      <c r="O893" t="s">
        <v>161</v>
      </c>
      <c r="Q893" t="s">
        <v>2219</v>
      </c>
      <c r="S893" t="s">
        <v>2040</v>
      </c>
    </row>
    <row r="894" spans="1:19" x14ac:dyDescent="0.2">
      <c r="A894" t="s">
        <v>2220</v>
      </c>
      <c r="B894" t="s">
        <v>2221</v>
      </c>
      <c r="C894" t="s">
        <v>2222</v>
      </c>
      <c r="D894" t="s">
        <v>61</v>
      </c>
      <c r="E894" t="s">
        <v>133</v>
      </c>
      <c r="K894" t="s">
        <v>2223</v>
      </c>
      <c r="M894" t="s">
        <v>282</v>
      </c>
      <c r="O894" t="s">
        <v>161</v>
      </c>
      <c r="P894">
        <v>4507032</v>
      </c>
    </row>
    <row r="895" spans="1:19" x14ac:dyDescent="0.2">
      <c r="A895" t="s">
        <v>2224</v>
      </c>
      <c r="B895" t="s">
        <v>2225</v>
      </c>
      <c r="C895" t="s">
        <v>2226</v>
      </c>
      <c r="D895" t="s">
        <v>24</v>
      </c>
      <c r="E895" t="s">
        <v>133</v>
      </c>
      <c r="M895" t="s">
        <v>282</v>
      </c>
      <c r="O895" t="s">
        <v>161</v>
      </c>
      <c r="Q895" t="s">
        <v>2227</v>
      </c>
      <c r="S895" t="s">
        <v>2040</v>
      </c>
    </row>
    <row r="896" spans="1:19" x14ac:dyDescent="0.2">
      <c r="A896" t="s">
        <v>2228</v>
      </c>
      <c r="B896" t="s">
        <v>2229</v>
      </c>
      <c r="C896" t="s">
        <v>2230</v>
      </c>
      <c r="D896" t="s">
        <v>61</v>
      </c>
      <c r="E896" t="s">
        <v>133</v>
      </c>
      <c r="K896" t="s">
        <v>2231</v>
      </c>
      <c r="M896" t="s">
        <v>282</v>
      </c>
      <c r="O896" t="s">
        <v>161</v>
      </c>
    </row>
    <row r="897" spans="1:19" x14ac:dyDescent="0.2">
      <c r="A897" t="s">
        <v>2232</v>
      </c>
      <c r="B897" t="s">
        <v>2233</v>
      </c>
      <c r="C897" t="s">
        <v>2234</v>
      </c>
      <c r="D897" t="s">
        <v>24</v>
      </c>
      <c r="E897" t="s">
        <v>133</v>
      </c>
      <c r="M897" t="s">
        <v>282</v>
      </c>
      <c r="O897" t="s">
        <v>161</v>
      </c>
      <c r="S897" t="s">
        <v>2040</v>
      </c>
    </row>
    <row r="898" spans="1:19" x14ac:dyDescent="0.2">
      <c r="A898" t="s">
        <v>2235</v>
      </c>
      <c r="B898" t="s">
        <v>2236</v>
      </c>
      <c r="C898" t="s">
        <v>2237</v>
      </c>
      <c r="D898" t="s">
        <v>24</v>
      </c>
      <c r="E898" t="s">
        <v>133</v>
      </c>
      <c r="M898" t="s">
        <v>282</v>
      </c>
      <c r="O898" t="s">
        <v>161</v>
      </c>
      <c r="S898" t="s">
        <v>2040</v>
      </c>
    </row>
    <row r="899" spans="1:19" x14ac:dyDescent="0.2">
      <c r="A899" t="s">
        <v>2238</v>
      </c>
      <c r="B899" t="s">
        <v>2239</v>
      </c>
      <c r="C899" t="s">
        <v>2240</v>
      </c>
      <c r="D899" t="s">
        <v>24</v>
      </c>
      <c r="E899" t="s">
        <v>133</v>
      </c>
      <c r="M899" t="s">
        <v>282</v>
      </c>
      <c r="O899" t="s">
        <v>161</v>
      </c>
      <c r="S899" t="s">
        <v>2040</v>
      </c>
    </row>
    <row r="900" spans="1:19" x14ac:dyDescent="0.2">
      <c r="A900" t="s">
        <v>2241</v>
      </c>
      <c r="B900" t="s">
        <v>2242</v>
      </c>
      <c r="C900" t="s">
        <v>2243</v>
      </c>
      <c r="D900" t="s">
        <v>24</v>
      </c>
      <c r="E900" t="s">
        <v>133</v>
      </c>
      <c r="M900" t="s">
        <v>282</v>
      </c>
      <c r="O900" t="s">
        <v>161</v>
      </c>
      <c r="S900" t="s">
        <v>2040</v>
      </c>
    </row>
    <row r="901" spans="1:19" x14ac:dyDescent="0.2">
      <c r="A901" t="s">
        <v>2244</v>
      </c>
      <c r="B901" t="s">
        <v>2245</v>
      </c>
      <c r="C901" t="s">
        <v>2246</v>
      </c>
      <c r="D901" t="s">
        <v>24</v>
      </c>
      <c r="E901" t="s">
        <v>133</v>
      </c>
      <c r="M901" t="s">
        <v>282</v>
      </c>
      <c r="O901" t="s">
        <v>161</v>
      </c>
      <c r="S901" t="s">
        <v>2040</v>
      </c>
    </row>
    <row r="902" spans="1:19" x14ac:dyDescent="0.2">
      <c r="A902" t="s">
        <v>2247</v>
      </c>
      <c r="B902" t="s">
        <v>2248</v>
      </c>
      <c r="C902" t="s">
        <v>2249</v>
      </c>
      <c r="D902" t="s">
        <v>14</v>
      </c>
      <c r="E902" t="s">
        <v>133</v>
      </c>
      <c r="K902" t="s">
        <v>2250</v>
      </c>
      <c r="M902" t="s">
        <v>282</v>
      </c>
      <c r="O902" t="s">
        <v>161</v>
      </c>
    </row>
    <row r="903" spans="1:19" x14ac:dyDescent="0.2">
      <c r="A903" t="s">
        <v>2251</v>
      </c>
      <c r="B903" t="s">
        <v>2252</v>
      </c>
      <c r="C903" t="s">
        <v>2253</v>
      </c>
      <c r="D903" t="s">
        <v>14</v>
      </c>
      <c r="E903" t="s">
        <v>133</v>
      </c>
      <c r="K903" t="s">
        <v>2254</v>
      </c>
      <c r="M903" t="s">
        <v>137</v>
      </c>
      <c r="O903" t="s">
        <v>161</v>
      </c>
    </row>
    <row r="904" spans="1:19" x14ac:dyDescent="0.2">
      <c r="A904" t="s">
        <v>2255</v>
      </c>
      <c r="B904" t="s">
        <v>2256</v>
      </c>
      <c r="C904" t="s">
        <v>2257</v>
      </c>
      <c r="D904" t="s">
        <v>24</v>
      </c>
      <c r="E904" t="s">
        <v>133</v>
      </c>
      <c r="M904" t="s">
        <v>137</v>
      </c>
      <c r="O904" t="s">
        <v>161</v>
      </c>
      <c r="S904" t="s">
        <v>2040</v>
      </c>
    </row>
    <row r="905" spans="1:19" x14ac:dyDescent="0.2">
      <c r="A905" t="s">
        <v>2258</v>
      </c>
      <c r="B905" t="s">
        <v>2259</v>
      </c>
      <c r="C905" t="s">
        <v>2260</v>
      </c>
      <c r="D905" t="s">
        <v>14</v>
      </c>
      <c r="E905" t="s">
        <v>133</v>
      </c>
      <c r="K905" t="s">
        <v>2261</v>
      </c>
      <c r="M905" t="s">
        <v>282</v>
      </c>
      <c r="O905" t="s">
        <v>161</v>
      </c>
    </row>
    <row r="906" spans="1:19" x14ac:dyDescent="0.2">
      <c r="A906" t="s">
        <v>2262</v>
      </c>
      <c r="B906" t="s">
        <v>2263</v>
      </c>
      <c r="C906" t="s">
        <v>2264</v>
      </c>
      <c r="D906" t="s">
        <v>14</v>
      </c>
      <c r="E906" t="s">
        <v>133</v>
      </c>
      <c r="K906" t="s">
        <v>2265</v>
      </c>
      <c r="M906" t="s">
        <v>282</v>
      </c>
      <c r="O906" t="s">
        <v>161</v>
      </c>
    </row>
    <row r="907" spans="1:19" x14ac:dyDescent="0.2">
      <c r="A907" t="s">
        <v>2266</v>
      </c>
      <c r="B907" t="s">
        <v>2267</v>
      </c>
      <c r="C907" t="s">
        <v>2268</v>
      </c>
      <c r="D907" t="s">
        <v>14</v>
      </c>
      <c r="E907" t="s">
        <v>133</v>
      </c>
      <c r="K907" t="s">
        <v>2269</v>
      </c>
      <c r="M907" t="s">
        <v>282</v>
      </c>
      <c r="O907" t="s">
        <v>161</v>
      </c>
      <c r="P907">
        <v>4507081</v>
      </c>
    </row>
    <row r="908" spans="1:19" x14ac:dyDescent="0.2">
      <c r="A908" t="s">
        <v>2270</v>
      </c>
      <c r="B908" t="s">
        <v>2271</v>
      </c>
      <c r="C908" t="s">
        <v>2272</v>
      </c>
      <c r="D908" t="s">
        <v>24</v>
      </c>
      <c r="E908" t="s">
        <v>133</v>
      </c>
      <c r="M908" t="s">
        <v>282</v>
      </c>
      <c r="O908" t="s">
        <v>161</v>
      </c>
      <c r="Q908" t="s">
        <v>2273</v>
      </c>
      <c r="S908" t="s">
        <v>2040</v>
      </c>
    </row>
    <row r="909" spans="1:19" x14ac:dyDescent="0.2">
      <c r="A909" t="s">
        <v>2274</v>
      </c>
      <c r="B909" t="s">
        <v>2275</v>
      </c>
      <c r="C909" t="s">
        <v>2276</v>
      </c>
      <c r="D909" t="s">
        <v>14</v>
      </c>
      <c r="E909" t="s">
        <v>133</v>
      </c>
      <c r="K909" t="s">
        <v>2277</v>
      </c>
      <c r="M909" t="s">
        <v>282</v>
      </c>
      <c r="O909" t="s">
        <v>150</v>
      </c>
    </row>
    <row r="910" spans="1:19" x14ac:dyDescent="0.2">
      <c r="A910" t="s">
        <v>2278</v>
      </c>
      <c r="B910" t="s">
        <v>2279</v>
      </c>
      <c r="C910" t="s">
        <v>2280</v>
      </c>
      <c r="D910" t="s">
        <v>24</v>
      </c>
      <c r="E910" t="s">
        <v>133</v>
      </c>
      <c r="M910" t="s">
        <v>282</v>
      </c>
      <c r="O910" t="s">
        <v>150</v>
      </c>
      <c r="Q910" t="s">
        <v>2281</v>
      </c>
      <c r="S910" t="s">
        <v>2040</v>
      </c>
    </row>
    <row r="911" spans="1:19" x14ac:dyDescent="0.2">
      <c r="A911" t="s">
        <v>2282</v>
      </c>
      <c r="B911" t="s">
        <v>2283</v>
      </c>
      <c r="C911" t="s">
        <v>2284</v>
      </c>
      <c r="D911" t="s">
        <v>14</v>
      </c>
      <c r="E911" t="s">
        <v>133</v>
      </c>
      <c r="K911" t="s">
        <v>2285</v>
      </c>
      <c r="M911" t="s">
        <v>282</v>
      </c>
      <c r="O911" t="s">
        <v>150</v>
      </c>
    </row>
    <row r="912" spans="1:19" x14ac:dyDescent="0.2">
      <c r="A912" t="s">
        <v>2286</v>
      </c>
      <c r="B912" t="s">
        <v>2287</v>
      </c>
      <c r="C912" t="s">
        <v>2288</v>
      </c>
      <c r="D912" t="s">
        <v>24</v>
      </c>
      <c r="E912" t="s">
        <v>133</v>
      </c>
      <c r="M912" t="s">
        <v>282</v>
      </c>
      <c r="O912" t="s">
        <v>150</v>
      </c>
      <c r="Q912" t="s">
        <v>2289</v>
      </c>
      <c r="S912" t="s">
        <v>2040</v>
      </c>
    </row>
    <row r="913" spans="1:19" x14ac:dyDescent="0.2">
      <c r="A913" t="s">
        <v>2290</v>
      </c>
      <c r="B913" t="s">
        <v>2291</v>
      </c>
      <c r="C913" t="s">
        <v>2292</v>
      </c>
      <c r="D913" t="s">
        <v>24</v>
      </c>
      <c r="E913" t="s">
        <v>133</v>
      </c>
      <c r="M913" t="s">
        <v>282</v>
      </c>
      <c r="O913" t="s">
        <v>150</v>
      </c>
      <c r="S913" t="s">
        <v>2040</v>
      </c>
    </row>
    <row r="914" spans="1:19" x14ac:dyDescent="0.2">
      <c r="A914" t="s">
        <v>2293</v>
      </c>
      <c r="B914" t="s">
        <v>2294</v>
      </c>
      <c r="C914" t="s">
        <v>2295</v>
      </c>
      <c r="D914" t="s">
        <v>14</v>
      </c>
      <c r="E914" t="s">
        <v>133</v>
      </c>
      <c r="K914" t="s">
        <v>2296</v>
      </c>
      <c r="M914" t="s">
        <v>282</v>
      </c>
      <c r="O914" t="s">
        <v>161</v>
      </c>
      <c r="P914">
        <v>4507045</v>
      </c>
    </row>
    <row r="915" spans="1:19" x14ac:dyDescent="0.2">
      <c r="A915" t="s">
        <v>2297</v>
      </c>
      <c r="B915" t="s">
        <v>2298</v>
      </c>
      <c r="C915" t="s">
        <v>2299</v>
      </c>
      <c r="D915" t="s">
        <v>24</v>
      </c>
      <c r="E915" t="s">
        <v>133</v>
      </c>
      <c r="M915" t="s">
        <v>282</v>
      </c>
      <c r="O915" t="s">
        <v>161</v>
      </c>
      <c r="Q915" t="s">
        <v>2300</v>
      </c>
      <c r="S915" t="s">
        <v>2040</v>
      </c>
    </row>
    <row r="916" spans="1:19" x14ac:dyDescent="0.2">
      <c r="A916" t="s">
        <v>2301</v>
      </c>
      <c r="B916" t="s">
        <v>2302</v>
      </c>
      <c r="C916" t="s">
        <v>2303</v>
      </c>
      <c r="D916" t="s">
        <v>14</v>
      </c>
      <c r="E916" t="s">
        <v>133</v>
      </c>
      <c r="K916" t="s">
        <v>2304</v>
      </c>
      <c r="M916" t="s">
        <v>282</v>
      </c>
      <c r="O916" t="s">
        <v>150</v>
      </c>
    </row>
    <row r="917" spans="1:19" x14ac:dyDescent="0.2">
      <c r="A917" t="s">
        <v>2305</v>
      </c>
      <c r="B917" t="s">
        <v>2306</v>
      </c>
      <c r="C917" t="s">
        <v>2307</v>
      </c>
      <c r="D917" t="s">
        <v>24</v>
      </c>
      <c r="E917" t="s">
        <v>133</v>
      </c>
      <c r="M917" t="s">
        <v>282</v>
      </c>
      <c r="O917" t="s">
        <v>150</v>
      </c>
      <c r="Q917" t="s">
        <v>2308</v>
      </c>
      <c r="S917" t="s">
        <v>2040</v>
      </c>
    </row>
    <row r="918" spans="1:19" x14ac:dyDescent="0.2">
      <c r="A918" t="s">
        <v>2309</v>
      </c>
      <c r="B918" t="s">
        <v>2310</v>
      </c>
      <c r="C918" t="s">
        <v>2311</v>
      </c>
      <c r="D918" t="s">
        <v>14</v>
      </c>
      <c r="E918" t="s">
        <v>133</v>
      </c>
      <c r="K918" t="s">
        <v>2312</v>
      </c>
      <c r="M918" t="s">
        <v>282</v>
      </c>
      <c r="O918" t="s">
        <v>150</v>
      </c>
    </row>
    <row r="919" spans="1:19" x14ac:dyDescent="0.2">
      <c r="A919" t="s">
        <v>2313</v>
      </c>
      <c r="B919" t="s">
        <v>2314</v>
      </c>
      <c r="C919" t="s">
        <v>2315</v>
      </c>
      <c r="D919" t="s">
        <v>24</v>
      </c>
      <c r="E919" t="s">
        <v>133</v>
      </c>
      <c r="M919" t="s">
        <v>282</v>
      </c>
      <c r="O919" t="s">
        <v>150</v>
      </c>
      <c r="Q919" t="s">
        <v>2316</v>
      </c>
      <c r="S919" t="s">
        <v>2040</v>
      </c>
    </row>
    <row r="920" spans="1:19" x14ac:dyDescent="0.2">
      <c r="A920" t="s">
        <v>2317</v>
      </c>
      <c r="B920" t="s">
        <v>2318</v>
      </c>
      <c r="C920" t="s">
        <v>2319</v>
      </c>
      <c r="D920" t="s">
        <v>24</v>
      </c>
      <c r="E920" t="s">
        <v>133</v>
      </c>
      <c r="M920" t="s">
        <v>282</v>
      </c>
      <c r="O920" t="s">
        <v>150</v>
      </c>
      <c r="S920" t="s">
        <v>2040</v>
      </c>
    </row>
    <row r="921" spans="1:19" x14ac:dyDescent="0.2">
      <c r="A921" t="s">
        <v>2320</v>
      </c>
      <c r="B921" t="s">
        <v>2321</v>
      </c>
      <c r="C921" t="s">
        <v>2322</v>
      </c>
      <c r="D921" t="s">
        <v>14</v>
      </c>
      <c r="E921" t="s">
        <v>133</v>
      </c>
      <c r="K921" t="s">
        <v>2323</v>
      </c>
      <c r="M921" t="s">
        <v>282</v>
      </c>
      <c r="O921" t="s">
        <v>161</v>
      </c>
      <c r="P921">
        <v>4507025</v>
      </c>
    </row>
    <row r="922" spans="1:19" x14ac:dyDescent="0.2">
      <c r="A922" t="s">
        <v>2324</v>
      </c>
      <c r="B922" t="s">
        <v>2325</v>
      </c>
      <c r="C922" t="s">
        <v>2326</v>
      </c>
      <c r="D922" t="s">
        <v>24</v>
      </c>
      <c r="E922" t="s">
        <v>133</v>
      </c>
      <c r="M922" t="s">
        <v>282</v>
      </c>
      <c r="O922" t="s">
        <v>161</v>
      </c>
      <c r="Q922" t="s">
        <v>2327</v>
      </c>
      <c r="S922" t="s">
        <v>2040</v>
      </c>
    </row>
    <row r="923" spans="1:19" x14ac:dyDescent="0.2">
      <c r="A923" t="s">
        <v>2328</v>
      </c>
      <c r="B923" t="s">
        <v>2329</v>
      </c>
      <c r="C923" t="s">
        <v>2330</v>
      </c>
      <c r="D923" t="s">
        <v>14</v>
      </c>
      <c r="E923" t="s">
        <v>133</v>
      </c>
      <c r="K923" t="s">
        <v>2331</v>
      </c>
      <c r="M923" t="s">
        <v>282</v>
      </c>
      <c r="O923" t="s">
        <v>150</v>
      </c>
    </row>
    <row r="924" spans="1:19" x14ac:dyDescent="0.2">
      <c r="A924" t="s">
        <v>2332</v>
      </c>
      <c r="B924" t="s">
        <v>2333</v>
      </c>
      <c r="C924" t="s">
        <v>2334</v>
      </c>
      <c r="D924" t="s">
        <v>24</v>
      </c>
      <c r="E924" t="s">
        <v>133</v>
      </c>
      <c r="M924" t="s">
        <v>282</v>
      </c>
      <c r="O924" t="s">
        <v>150</v>
      </c>
      <c r="Q924" t="s">
        <v>2335</v>
      </c>
      <c r="S924" t="s">
        <v>2040</v>
      </c>
    </row>
    <row r="925" spans="1:19" x14ac:dyDescent="0.2">
      <c r="A925" t="s">
        <v>2336</v>
      </c>
      <c r="B925" t="s">
        <v>2337</v>
      </c>
      <c r="C925" t="s">
        <v>2338</v>
      </c>
      <c r="D925" t="s">
        <v>14</v>
      </c>
      <c r="E925" t="s">
        <v>133</v>
      </c>
      <c r="K925" t="s">
        <v>2339</v>
      </c>
      <c r="M925" t="s">
        <v>282</v>
      </c>
      <c r="O925" t="s">
        <v>150</v>
      </c>
    </row>
    <row r="926" spans="1:19" x14ac:dyDescent="0.2">
      <c r="A926" t="s">
        <v>2340</v>
      </c>
      <c r="B926" t="s">
        <v>2341</v>
      </c>
      <c r="C926" t="s">
        <v>2342</v>
      </c>
      <c r="D926" t="s">
        <v>24</v>
      </c>
      <c r="E926" t="s">
        <v>133</v>
      </c>
      <c r="M926" t="s">
        <v>282</v>
      </c>
      <c r="O926" t="s">
        <v>150</v>
      </c>
      <c r="Q926" t="s">
        <v>2343</v>
      </c>
      <c r="S926" t="s">
        <v>2040</v>
      </c>
    </row>
    <row r="927" spans="1:19" x14ac:dyDescent="0.2">
      <c r="A927" t="s">
        <v>2344</v>
      </c>
      <c r="B927" t="s">
        <v>2345</v>
      </c>
      <c r="C927" t="s">
        <v>2346</v>
      </c>
      <c r="D927" t="s">
        <v>24</v>
      </c>
      <c r="E927" t="s">
        <v>133</v>
      </c>
      <c r="M927" t="s">
        <v>282</v>
      </c>
      <c r="O927" t="s">
        <v>150</v>
      </c>
      <c r="S927" t="s">
        <v>2040</v>
      </c>
    </row>
    <row r="928" spans="1:19" x14ac:dyDescent="0.2">
      <c r="A928" t="s">
        <v>2347</v>
      </c>
      <c r="B928" t="s">
        <v>2348</v>
      </c>
      <c r="C928" t="s">
        <v>2349</v>
      </c>
      <c r="D928" t="s">
        <v>14</v>
      </c>
      <c r="E928" t="s">
        <v>133</v>
      </c>
      <c r="K928" t="s">
        <v>2350</v>
      </c>
      <c r="M928" t="s">
        <v>282</v>
      </c>
      <c r="O928" t="s">
        <v>161</v>
      </c>
      <c r="P928">
        <v>4507055</v>
      </c>
    </row>
    <row r="929" spans="1:19" x14ac:dyDescent="0.2">
      <c r="A929" t="s">
        <v>2351</v>
      </c>
      <c r="B929" t="s">
        <v>2352</v>
      </c>
      <c r="C929" t="s">
        <v>2353</v>
      </c>
      <c r="D929" t="s">
        <v>24</v>
      </c>
      <c r="E929" t="s">
        <v>133</v>
      </c>
      <c r="M929" t="s">
        <v>282</v>
      </c>
      <c r="O929" t="s">
        <v>161</v>
      </c>
      <c r="Q929" t="s">
        <v>2354</v>
      </c>
      <c r="S929" t="s">
        <v>2040</v>
      </c>
    </row>
    <row r="930" spans="1:19" x14ac:dyDescent="0.2">
      <c r="A930" t="s">
        <v>2355</v>
      </c>
      <c r="B930" t="s">
        <v>2356</v>
      </c>
      <c r="C930" t="s">
        <v>2357</v>
      </c>
      <c r="D930" t="s">
        <v>14</v>
      </c>
      <c r="E930" t="s">
        <v>133</v>
      </c>
      <c r="K930" t="s">
        <v>2358</v>
      </c>
      <c r="M930" t="s">
        <v>282</v>
      </c>
      <c r="O930" t="s">
        <v>150</v>
      </c>
    </row>
    <row r="931" spans="1:19" x14ac:dyDescent="0.2">
      <c r="A931" t="s">
        <v>2359</v>
      </c>
      <c r="B931" t="s">
        <v>2360</v>
      </c>
      <c r="C931" t="s">
        <v>2361</v>
      </c>
      <c r="D931" t="s">
        <v>24</v>
      </c>
      <c r="E931" t="s">
        <v>133</v>
      </c>
      <c r="M931" t="s">
        <v>282</v>
      </c>
      <c r="O931" t="s">
        <v>150</v>
      </c>
      <c r="Q931" t="s">
        <v>2362</v>
      </c>
      <c r="S931" t="s">
        <v>2040</v>
      </c>
    </row>
    <row r="932" spans="1:19" x14ac:dyDescent="0.2">
      <c r="A932" t="s">
        <v>2363</v>
      </c>
      <c r="B932" t="s">
        <v>2364</v>
      </c>
      <c r="C932" t="s">
        <v>2365</v>
      </c>
      <c r="D932" t="s">
        <v>14</v>
      </c>
      <c r="E932" t="s">
        <v>133</v>
      </c>
      <c r="K932" t="s">
        <v>2366</v>
      </c>
      <c r="M932" t="s">
        <v>282</v>
      </c>
      <c r="O932" t="s">
        <v>150</v>
      </c>
    </row>
    <row r="933" spans="1:19" x14ac:dyDescent="0.2">
      <c r="A933" t="s">
        <v>2367</v>
      </c>
      <c r="B933" t="s">
        <v>2368</v>
      </c>
      <c r="C933" t="s">
        <v>2369</v>
      </c>
      <c r="D933" t="s">
        <v>24</v>
      </c>
      <c r="E933" t="s">
        <v>133</v>
      </c>
      <c r="M933" t="s">
        <v>282</v>
      </c>
      <c r="O933" t="s">
        <v>150</v>
      </c>
      <c r="Q933" t="s">
        <v>2370</v>
      </c>
      <c r="S933" t="s">
        <v>2040</v>
      </c>
    </row>
    <row r="934" spans="1:19" x14ac:dyDescent="0.2">
      <c r="A934" t="s">
        <v>2371</v>
      </c>
      <c r="B934" t="s">
        <v>2372</v>
      </c>
      <c r="C934" t="s">
        <v>2373</v>
      </c>
      <c r="D934" t="s">
        <v>24</v>
      </c>
      <c r="E934" t="s">
        <v>133</v>
      </c>
      <c r="M934" t="s">
        <v>282</v>
      </c>
      <c r="O934" t="s">
        <v>150</v>
      </c>
      <c r="S934" t="s">
        <v>2040</v>
      </c>
    </row>
    <row r="935" spans="1:19" x14ac:dyDescent="0.2">
      <c r="A935" t="s">
        <v>2374</v>
      </c>
      <c r="B935" t="s">
        <v>2375</v>
      </c>
      <c r="C935" t="s">
        <v>2376</v>
      </c>
      <c r="D935" t="s">
        <v>14</v>
      </c>
      <c r="E935" t="s">
        <v>133</v>
      </c>
      <c r="K935" t="s">
        <v>2377</v>
      </c>
      <c r="M935" t="s">
        <v>282</v>
      </c>
      <c r="O935" t="s">
        <v>161</v>
      </c>
      <c r="P935">
        <v>4507035</v>
      </c>
    </row>
    <row r="936" spans="1:19" x14ac:dyDescent="0.2">
      <c r="A936" t="s">
        <v>2378</v>
      </c>
      <c r="B936" t="s">
        <v>2379</v>
      </c>
      <c r="C936" t="s">
        <v>2380</v>
      </c>
      <c r="D936" t="s">
        <v>24</v>
      </c>
      <c r="E936" t="s">
        <v>133</v>
      </c>
      <c r="M936" t="s">
        <v>282</v>
      </c>
      <c r="O936" t="s">
        <v>161</v>
      </c>
      <c r="Q936" t="s">
        <v>2381</v>
      </c>
      <c r="S936" t="s">
        <v>2040</v>
      </c>
    </row>
    <row r="937" spans="1:19" x14ac:dyDescent="0.2">
      <c r="A937" t="s">
        <v>2382</v>
      </c>
      <c r="B937" t="s">
        <v>2383</v>
      </c>
      <c r="C937" t="s">
        <v>2384</v>
      </c>
      <c r="D937" t="s">
        <v>14</v>
      </c>
      <c r="E937" t="s">
        <v>133</v>
      </c>
      <c r="K937" t="s">
        <v>2385</v>
      </c>
      <c r="M937" t="s">
        <v>282</v>
      </c>
      <c r="O937" t="s">
        <v>150</v>
      </c>
    </row>
    <row r="938" spans="1:19" x14ac:dyDescent="0.2">
      <c r="A938" t="s">
        <v>2386</v>
      </c>
      <c r="B938" t="s">
        <v>2387</v>
      </c>
      <c r="C938" t="s">
        <v>2388</v>
      </c>
      <c r="D938" t="s">
        <v>24</v>
      </c>
      <c r="E938" t="s">
        <v>133</v>
      </c>
      <c r="M938" t="s">
        <v>282</v>
      </c>
      <c r="O938" t="s">
        <v>150</v>
      </c>
      <c r="Q938" t="s">
        <v>2389</v>
      </c>
      <c r="S938" t="s">
        <v>2040</v>
      </c>
    </row>
    <row r="939" spans="1:19" x14ac:dyDescent="0.2">
      <c r="A939" t="s">
        <v>2390</v>
      </c>
      <c r="B939" t="s">
        <v>2391</v>
      </c>
      <c r="C939" t="s">
        <v>2392</v>
      </c>
      <c r="D939" t="s">
        <v>14</v>
      </c>
      <c r="E939" t="s">
        <v>133</v>
      </c>
      <c r="K939" t="s">
        <v>2393</v>
      </c>
      <c r="M939" t="s">
        <v>282</v>
      </c>
      <c r="O939" t="s">
        <v>150</v>
      </c>
    </row>
    <row r="940" spans="1:19" x14ac:dyDescent="0.2">
      <c r="A940" t="s">
        <v>2394</v>
      </c>
      <c r="B940" t="s">
        <v>2395</v>
      </c>
      <c r="C940" t="s">
        <v>2396</v>
      </c>
      <c r="D940" t="s">
        <v>24</v>
      </c>
      <c r="E940" t="s">
        <v>133</v>
      </c>
      <c r="M940" t="s">
        <v>282</v>
      </c>
      <c r="O940" t="s">
        <v>150</v>
      </c>
      <c r="Q940" t="s">
        <v>2397</v>
      </c>
      <c r="S940" t="s">
        <v>2040</v>
      </c>
    </row>
    <row r="941" spans="1:19" x14ac:dyDescent="0.2">
      <c r="A941" t="s">
        <v>2398</v>
      </c>
      <c r="B941" t="s">
        <v>2399</v>
      </c>
      <c r="C941" t="s">
        <v>2400</v>
      </c>
      <c r="D941" t="s">
        <v>24</v>
      </c>
      <c r="E941" t="s">
        <v>133</v>
      </c>
      <c r="M941" t="s">
        <v>282</v>
      </c>
      <c r="O941" t="s">
        <v>150</v>
      </c>
      <c r="S941" t="s">
        <v>2040</v>
      </c>
    </row>
    <row r="942" spans="1:19" x14ac:dyDescent="0.2">
      <c r="A942" t="s">
        <v>2401</v>
      </c>
      <c r="B942" t="s">
        <v>2402</v>
      </c>
      <c r="C942" t="s">
        <v>2403</v>
      </c>
      <c r="D942" t="s">
        <v>14</v>
      </c>
      <c r="E942" t="s">
        <v>133</v>
      </c>
      <c r="K942" t="s">
        <v>2404</v>
      </c>
      <c r="M942" t="s">
        <v>282</v>
      </c>
      <c r="O942" t="s">
        <v>161</v>
      </c>
      <c r="P942">
        <v>4507071</v>
      </c>
    </row>
    <row r="943" spans="1:19" x14ac:dyDescent="0.2">
      <c r="A943" t="s">
        <v>2405</v>
      </c>
      <c r="B943" t="s">
        <v>2406</v>
      </c>
      <c r="C943" t="s">
        <v>2407</v>
      </c>
      <c r="D943" t="s">
        <v>24</v>
      </c>
      <c r="E943" t="s">
        <v>133</v>
      </c>
      <c r="M943" t="s">
        <v>282</v>
      </c>
      <c r="O943" t="s">
        <v>161</v>
      </c>
      <c r="Q943" t="s">
        <v>2408</v>
      </c>
      <c r="S943" t="s">
        <v>2040</v>
      </c>
    </row>
    <row r="944" spans="1:19" x14ac:dyDescent="0.2">
      <c r="A944" t="s">
        <v>2409</v>
      </c>
      <c r="B944" t="s">
        <v>2410</v>
      </c>
      <c r="C944" t="s">
        <v>2411</v>
      </c>
      <c r="D944" t="s">
        <v>14</v>
      </c>
      <c r="E944" t="s">
        <v>133</v>
      </c>
      <c r="K944" t="s">
        <v>2412</v>
      </c>
      <c r="M944" t="s">
        <v>282</v>
      </c>
      <c r="O944" t="s">
        <v>150</v>
      </c>
    </row>
    <row r="945" spans="1:19" x14ac:dyDescent="0.2">
      <c r="A945" t="s">
        <v>2413</v>
      </c>
      <c r="B945" t="s">
        <v>2414</v>
      </c>
      <c r="C945" t="s">
        <v>2415</v>
      </c>
      <c r="D945" t="s">
        <v>24</v>
      </c>
      <c r="E945" t="s">
        <v>133</v>
      </c>
      <c r="M945" t="s">
        <v>282</v>
      </c>
      <c r="O945" t="s">
        <v>150</v>
      </c>
      <c r="Q945" t="s">
        <v>2416</v>
      </c>
      <c r="S945" t="s">
        <v>2040</v>
      </c>
    </row>
    <row r="946" spans="1:19" x14ac:dyDescent="0.2">
      <c r="A946" t="s">
        <v>2417</v>
      </c>
      <c r="B946" t="s">
        <v>2418</v>
      </c>
      <c r="C946" t="s">
        <v>2419</v>
      </c>
      <c r="D946" t="s">
        <v>14</v>
      </c>
      <c r="E946" t="s">
        <v>133</v>
      </c>
      <c r="K946" t="s">
        <v>2420</v>
      </c>
      <c r="M946" t="s">
        <v>282</v>
      </c>
      <c r="O946" t="s">
        <v>150</v>
      </c>
    </row>
    <row r="947" spans="1:19" x14ac:dyDescent="0.2">
      <c r="A947" t="s">
        <v>2421</v>
      </c>
      <c r="B947" t="s">
        <v>2422</v>
      </c>
      <c r="C947" t="s">
        <v>2423</v>
      </c>
      <c r="D947" t="s">
        <v>24</v>
      </c>
      <c r="E947" t="s">
        <v>133</v>
      </c>
      <c r="M947" t="s">
        <v>282</v>
      </c>
      <c r="O947" t="s">
        <v>150</v>
      </c>
      <c r="Q947" t="s">
        <v>2424</v>
      </c>
      <c r="S947" t="s">
        <v>2040</v>
      </c>
    </row>
    <row r="948" spans="1:19" x14ac:dyDescent="0.2">
      <c r="A948" t="s">
        <v>2425</v>
      </c>
      <c r="B948" t="s">
        <v>2426</v>
      </c>
      <c r="C948" t="s">
        <v>2427</v>
      </c>
      <c r="D948" t="s">
        <v>24</v>
      </c>
      <c r="E948" t="s">
        <v>133</v>
      </c>
      <c r="M948" t="s">
        <v>282</v>
      </c>
      <c r="O948" t="s">
        <v>150</v>
      </c>
      <c r="S948" t="s">
        <v>2040</v>
      </c>
    </row>
    <row r="949" spans="1:19" x14ac:dyDescent="0.2">
      <c r="A949" t="s">
        <v>2428</v>
      </c>
      <c r="B949" t="s">
        <v>2429</v>
      </c>
      <c r="C949" t="s">
        <v>2430</v>
      </c>
      <c r="D949" t="s">
        <v>14</v>
      </c>
      <c r="E949" t="s">
        <v>133</v>
      </c>
      <c r="K949" t="s">
        <v>2431</v>
      </c>
      <c r="M949" t="s">
        <v>282</v>
      </c>
      <c r="O949" t="s">
        <v>161</v>
      </c>
      <c r="P949">
        <v>4507044</v>
      </c>
    </row>
    <row r="950" spans="1:19" x14ac:dyDescent="0.2">
      <c r="A950" t="s">
        <v>2432</v>
      </c>
      <c r="B950" t="s">
        <v>2433</v>
      </c>
      <c r="C950" t="s">
        <v>2434</v>
      </c>
      <c r="D950" t="s">
        <v>24</v>
      </c>
      <c r="E950" t="s">
        <v>133</v>
      </c>
      <c r="M950" t="s">
        <v>282</v>
      </c>
      <c r="O950" t="s">
        <v>161</v>
      </c>
      <c r="Q950" t="s">
        <v>2435</v>
      </c>
      <c r="S950" t="s">
        <v>2040</v>
      </c>
    </row>
    <row r="951" spans="1:19" x14ac:dyDescent="0.2">
      <c r="A951" t="s">
        <v>2436</v>
      </c>
      <c r="B951" t="s">
        <v>2437</v>
      </c>
      <c r="C951" t="s">
        <v>2438</v>
      </c>
      <c r="D951" t="s">
        <v>14</v>
      </c>
      <c r="E951" t="s">
        <v>133</v>
      </c>
      <c r="K951" t="s">
        <v>2439</v>
      </c>
      <c r="M951" t="s">
        <v>282</v>
      </c>
      <c r="O951" t="s">
        <v>150</v>
      </c>
    </row>
    <row r="952" spans="1:19" x14ac:dyDescent="0.2">
      <c r="A952" t="s">
        <v>2440</v>
      </c>
      <c r="B952" t="s">
        <v>2441</v>
      </c>
      <c r="C952" t="s">
        <v>2442</v>
      </c>
      <c r="D952" t="s">
        <v>24</v>
      </c>
      <c r="E952" t="s">
        <v>133</v>
      </c>
      <c r="M952" t="s">
        <v>282</v>
      </c>
      <c r="O952" t="s">
        <v>150</v>
      </c>
      <c r="Q952" t="s">
        <v>2443</v>
      </c>
      <c r="S952" t="s">
        <v>2040</v>
      </c>
    </row>
    <row r="953" spans="1:19" x14ac:dyDescent="0.2">
      <c r="A953" t="s">
        <v>2444</v>
      </c>
      <c r="B953" t="s">
        <v>2445</v>
      </c>
      <c r="C953" t="s">
        <v>2446</v>
      </c>
      <c r="D953" t="s">
        <v>14</v>
      </c>
      <c r="E953" t="s">
        <v>133</v>
      </c>
      <c r="K953" t="s">
        <v>2447</v>
      </c>
      <c r="M953" t="s">
        <v>282</v>
      </c>
      <c r="O953" t="s">
        <v>150</v>
      </c>
    </row>
    <row r="954" spans="1:19" x14ac:dyDescent="0.2">
      <c r="A954" t="s">
        <v>2448</v>
      </c>
      <c r="B954" t="s">
        <v>2449</v>
      </c>
      <c r="C954" t="s">
        <v>2450</v>
      </c>
      <c r="D954" t="s">
        <v>24</v>
      </c>
      <c r="E954" t="s">
        <v>133</v>
      </c>
      <c r="M954" t="s">
        <v>282</v>
      </c>
      <c r="O954" t="s">
        <v>150</v>
      </c>
      <c r="Q954" t="s">
        <v>2451</v>
      </c>
      <c r="S954" t="s">
        <v>2040</v>
      </c>
    </row>
    <row r="955" spans="1:19" x14ac:dyDescent="0.2">
      <c r="A955" t="s">
        <v>2452</v>
      </c>
      <c r="B955" t="s">
        <v>2453</v>
      </c>
      <c r="C955" t="s">
        <v>2454</v>
      </c>
      <c r="D955" t="s">
        <v>24</v>
      </c>
      <c r="E955" t="s">
        <v>133</v>
      </c>
      <c r="M955" t="s">
        <v>282</v>
      </c>
      <c r="O955" t="s">
        <v>150</v>
      </c>
      <c r="S955" t="s">
        <v>2040</v>
      </c>
    </row>
    <row r="956" spans="1:19" x14ac:dyDescent="0.2">
      <c r="A956" t="s">
        <v>2455</v>
      </c>
      <c r="B956" t="s">
        <v>2456</v>
      </c>
      <c r="C956" t="s">
        <v>2457</v>
      </c>
      <c r="D956" t="s">
        <v>14</v>
      </c>
      <c r="E956" t="s">
        <v>133</v>
      </c>
      <c r="K956" t="s">
        <v>2458</v>
      </c>
      <c r="M956" t="s">
        <v>282</v>
      </c>
      <c r="O956" t="s">
        <v>161</v>
      </c>
      <c r="P956">
        <v>4507015</v>
      </c>
    </row>
    <row r="957" spans="1:19" x14ac:dyDescent="0.2">
      <c r="A957" t="s">
        <v>2459</v>
      </c>
      <c r="B957" t="s">
        <v>2460</v>
      </c>
      <c r="C957" t="s">
        <v>2461</v>
      </c>
      <c r="D957" t="s">
        <v>24</v>
      </c>
      <c r="E957" t="s">
        <v>133</v>
      </c>
      <c r="M957" t="s">
        <v>282</v>
      </c>
      <c r="O957" t="s">
        <v>161</v>
      </c>
      <c r="Q957" t="s">
        <v>2462</v>
      </c>
      <c r="S957" t="s">
        <v>2040</v>
      </c>
    </row>
    <row r="958" spans="1:19" x14ac:dyDescent="0.2">
      <c r="A958" t="s">
        <v>2463</v>
      </c>
      <c r="B958" t="s">
        <v>2464</v>
      </c>
      <c r="C958" t="s">
        <v>2465</v>
      </c>
      <c r="D958" t="s">
        <v>14</v>
      </c>
      <c r="E958" t="s">
        <v>133</v>
      </c>
      <c r="K958" t="s">
        <v>2466</v>
      </c>
      <c r="M958" t="s">
        <v>282</v>
      </c>
      <c r="O958" t="s">
        <v>150</v>
      </c>
    </row>
    <row r="959" spans="1:19" x14ac:dyDescent="0.2">
      <c r="A959" t="s">
        <v>2467</v>
      </c>
      <c r="B959" t="s">
        <v>2468</v>
      </c>
      <c r="C959" t="s">
        <v>2469</v>
      </c>
      <c r="D959" t="s">
        <v>24</v>
      </c>
      <c r="E959" t="s">
        <v>133</v>
      </c>
      <c r="M959" t="s">
        <v>282</v>
      </c>
      <c r="O959" t="s">
        <v>150</v>
      </c>
      <c r="Q959" t="s">
        <v>2470</v>
      </c>
      <c r="S959" t="s">
        <v>2040</v>
      </c>
    </row>
    <row r="960" spans="1:19" x14ac:dyDescent="0.2">
      <c r="A960" t="s">
        <v>2471</v>
      </c>
      <c r="B960" t="s">
        <v>2472</v>
      </c>
      <c r="C960" t="s">
        <v>2473</v>
      </c>
      <c r="D960" t="s">
        <v>14</v>
      </c>
      <c r="E960" t="s">
        <v>133</v>
      </c>
      <c r="K960" t="s">
        <v>2474</v>
      </c>
      <c r="M960" t="s">
        <v>282</v>
      </c>
      <c r="O960" t="s">
        <v>150</v>
      </c>
    </row>
    <row r="961" spans="1:19" x14ac:dyDescent="0.2">
      <c r="A961" t="s">
        <v>2475</v>
      </c>
      <c r="B961" t="s">
        <v>2476</v>
      </c>
      <c r="C961" t="s">
        <v>2477</v>
      </c>
      <c r="D961" t="s">
        <v>24</v>
      </c>
      <c r="E961" t="s">
        <v>133</v>
      </c>
      <c r="M961" t="s">
        <v>282</v>
      </c>
      <c r="O961" t="s">
        <v>150</v>
      </c>
      <c r="Q961" t="s">
        <v>2478</v>
      </c>
      <c r="S961" t="s">
        <v>2040</v>
      </c>
    </row>
    <row r="962" spans="1:19" x14ac:dyDescent="0.2">
      <c r="A962" t="s">
        <v>2479</v>
      </c>
      <c r="B962" t="s">
        <v>2480</v>
      </c>
      <c r="C962" t="s">
        <v>2481</v>
      </c>
      <c r="D962" t="s">
        <v>24</v>
      </c>
      <c r="E962" t="s">
        <v>133</v>
      </c>
      <c r="M962" t="s">
        <v>282</v>
      </c>
      <c r="O962" t="s">
        <v>150</v>
      </c>
      <c r="S962" t="s">
        <v>2040</v>
      </c>
    </row>
    <row r="963" spans="1:19" x14ac:dyDescent="0.2">
      <c r="A963" t="s">
        <v>2482</v>
      </c>
      <c r="B963" t="s">
        <v>2483</v>
      </c>
      <c r="C963" t="s">
        <v>2484</v>
      </c>
      <c r="D963" t="s">
        <v>14</v>
      </c>
      <c r="E963" t="s">
        <v>133</v>
      </c>
      <c r="K963" t="s">
        <v>2485</v>
      </c>
      <c r="M963" t="s">
        <v>282</v>
      </c>
      <c r="O963" t="s">
        <v>161</v>
      </c>
      <c r="P963">
        <v>4507054</v>
      </c>
    </row>
    <row r="964" spans="1:19" x14ac:dyDescent="0.2">
      <c r="A964" t="s">
        <v>2486</v>
      </c>
      <c r="B964" t="s">
        <v>2487</v>
      </c>
      <c r="C964" t="s">
        <v>2488</v>
      </c>
      <c r="D964" t="s">
        <v>24</v>
      </c>
      <c r="E964" t="s">
        <v>133</v>
      </c>
      <c r="M964" t="s">
        <v>282</v>
      </c>
      <c r="O964" t="s">
        <v>161</v>
      </c>
      <c r="Q964" t="s">
        <v>2489</v>
      </c>
      <c r="S964" t="s">
        <v>2040</v>
      </c>
    </row>
    <row r="965" spans="1:19" x14ac:dyDescent="0.2">
      <c r="A965" t="s">
        <v>2490</v>
      </c>
      <c r="B965" t="s">
        <v>2491</v>
      </c>
      <c r="C965" t="s">
        <v>2492</v>
      </c>
      <c r="D965" t="s">
        <v>14</v>
      </c>
      <c r="E965" t="s">
        <v>133</v>
      </c>
      <c r="K965" t="s">
        <v>2493</v>
      </c>
      <c r="M965" t="s">
        <v>282</v>
      </c>
      <c r="O965" t="s">
        <v>150</v>
      </c>
    </row>
    <row r="966" spans="1:19" x14ac:dyDescent="0.2">
      <c r="A966" t="s">
        <v>2494</v>
      </c>
      <c r="B966" t="s">
        <v>2495</v>
      </c>
      <c r="C966" t="s">
        <v>2496</v>
      </c>
      <c r="D966" t="s">
        <v>24</v>
      </c>
      <c r="E966" t="s">
        <v>133</v>
      </c>
      <c r="M966" t="s">
        <v>282</v>
      </c>
      <c r="O966" t="s">
        <v>150</v>
      </c>
      <c r="Q966" t="s">
        <v>2497</v>
      </c>
      <c r="S966" t="s">
        <v>2040</v>
      </c>
    </row>
    <row r="967" spans="1:19" x14ac:dyDescent="0.2">
      <c r="A967" t="s">
        <v>2498</v>
      </c>
      <c r="B967" t="s">
        <v>2499</v>
      </c>
      <c r="C967" t="s">
        <v>2500</v>
      </c>
      <c r="D967" t="s">
        <v>14</v>
      </c>
      <c r="E967" t="s">
        <v>133</v>
      </c>
      <c r="K967" t="s">
        <v>2501</v>
      </c>
      <c r="M967" t="s">
        <v>282</v>
      </c>
      <c r="O967" t="s">
        <v>150</v>
      </c>
    </row>
    <row r="968" spans="1:19" x14ac:dyDescent="0.2">
      <c r="A968" t="s">
        <v>2502</v>
      </c>
      <c r="B968" t="s">
        <v>2503</v>
      </c>
      <c r="C968" t="s">
        <v>2504</v>
      </c>
      <c r="D968" t="s">
        <v>24</v>
      </c>
      <c r="E968" t="s">
        <v>133</v>
      </c>
      <c r="M968" t="s">
        <v>282</v>
      </c>
      <c r="O968" t="s">
        <v>150</v>
      </c>
      <c r="Q968" t="s">
        <v>2505</v>
      </c>
      <c r="S968" t="s">
        <v>2040</v>
      </c>
    </row>
    <row r="969" spans="1:19" x14ac:dyDescent="0.2">
      <c r="A969" t="s">
        <v>2506</v>
      </c>
      <c r="B969" t="s">
        <v>2507</v>
      </c>
      <c r="C969" t="s">
        <v>2508</v>
      </c>
      <c r="D969" t="s">
        <v>24</v>
      </c>
      <c r="E969" t="s">
        <v>133</v>
      </c>
      <c r="M969" t="s">
        <v>282</v>
      </c>
      <c r="O969" t="s">
        <v>150</v>
      </c>
      <c r="S969" t="s">
        <v>2040</v>
      </c>
    </row>
    <row r="970" spans="1:19" x14ac:dyDescent="0.2">
      <c r="A970" t="s">
        <v>2509</v>
      </c>
      <c r="B970" t="s">
        <v>2510</v>
      </c>
      <c r="C970" t="s">
        <v>2511</v>
      </c>
      <c r="D970" t="s">
        <v>14</v>
      </c>
      <c r="E970" t="s">
        <v>133</v>
      </c>
      <c r="K970" t="s">
        <v>2512</v>
      </c>
      <c r="M970" t="s">
        <v>282</v>
      </c>
      <c r="O970" t="s">
        <v>161</v>
      </c>
      <c r="P970">
        <v>4507034</v>
      </c>
    </row>
    <row r="971" spans="1:19" x14ac:dyDescent="0.2">
      <c r="A971" t="s">
        <v>2513</v>
      </c>
      <c r="B971" t="s">
        <v>2514</v>
      </c>
      <c r="C971" t="s">
        <v>2515</v>
      </c>
      <c r="D971" t="s">
        <v>24</v>
      </c>
      <c r="E971" t="s">
        <v>133</v>
      </c>
      <c r="M971" t="s">
        <v>282</v>
      </c>
      <c r="O971" t="s">
        <v>161</v>
      </c>
      <c r="Q971" t="s">
        <v>2516</v>
      </c>
      <c r="S971" t="s">
        <v>2040</v>
      </c>
    </row>
    <row r="972" spans="1:19" x14ac:dyDescent="0.2">
      <c r="A972" t="s">
        <v>2517</v>
      </c>
      <c r="B972" t="s">
        <v>2518</v>
      </c>
      <c r="C972" t="s">
        <v>2519</v>
      </c>
      <c r="D972" t="s">
        <v>14</v>
      </c>
      <c r="E972" t="s">
        <v>133</v>
      </c>
      <c r="K972" t="s">
        <v>2520</v>
      </c>
      <c r="M972" t="s">
        <v>282</v>
      </c>
      <c r="O972" t="s">
        <v>150</v>
      </c>
    </row>
    <row r="973" spans="1:19" x14ac:dyDescent="0.2">
      <c r="A973" t="s">
        <v>2521</v>
      </c>
      <c r="B973" t="s">
        <v>2522</v>
      </c>
      <c r="C973" t="s">
        <v>2523</v>
      </c>
      <c r="D973" t="s">
        <v>24</v>
      </c>
      <c r="E973" t="s">
        <v>133</v>
      </c>
      <c r="M973" t="s">
        <v>282</v>
      </c>
      <c r="O973" t="s">
        <v>150</v>
      </c>
      <c r="Q973" t="s">
        <v>2524</v>
      </c>
      <c r="S973" t="s">
        <v>2040</v>
      </c>
    </row>
    <row r="974" spans="1:19" x14ac:dyDescent="0.2">
      <c r="A974" t="s">
        <v>2525</v>
      </c>
      <c r="B974" t="s">
        <v>2526</v>
      </c>
      <c r="C974" t="s">
        <v>2527</v>
      </c>
      <c r="D974" t="s">
        <v>14</v>
      </c>
      <c r="E974" t="s">
        <v>133</v>
      </c>
      <c r="K974" t="s">
        <v>2528</v>
      </c>
      <c r="M974" t="s">
        <v>282</v>
      </c>
      <c r="O974" t="s">
        <v>150</v>
      </c>
    </row>
    <row r="975" spans="1:19" x14ac:dyDescent="0.2">
      <c r="A975" t="s">
        <v>2529</v>
      </c>
      <c r="B975" t="s">
        <v>2530</v>
      </c>
      <c r="C975" t="s">
        <v>2531</v>
      </c>
      <c r="D975" t="s">
        <v>24</v>
      </c>
      <c r="E975" t="s">
        <v>133</v>
      </c>
      <c r="M975" t="s">
        <v>282</v>
      </c>
      <c r="O975" t="s">
        <v>150</v>
      </c>
      <c r="Q975" t="s">
        <v>2532</v>
      </c>
      <c r="S975" t="s">
        <v>2040</v>
      </c>
    </row>
    <row r="976" spans="1:19" x14ac:dyDescent="0.2">
      <c r="A976" t="s">
        <v>2533</v>
      </c>
      <c r="B976" t="s">
        <v>2534</v>
      </c>
      <c r="C976" t="s">
        <v>2535</v>
      </c>
      <c r="D976" t="s">
        <v>24</v>
      </c>
      <c r="E976" t="s">
        <v>133</v>
      </c>
      <c r="M976" t="s">
        <v>282</v>
      </c>
      <c r="O976" t="s">
        <v>150</v>
      </c>
      <c r="S976" t="s">
        <v>2040</v>
      </c>
    </row>
    <row r="977" spans="1:19" x14ac:dyDescent="0.2">
      <c r="A977" t="s">
        <v>2536</v>
      </c>
      <c r="B977" t="s">
        <v>2537</v>
      </c>
      <c r="C977" t="s">
        <v>2538</v>
      </c>
      <c r="D977" t="s">
        <v>61</v>
      </c>
      <c r="E977" t="s">
        <v>133</v>
      </c>
      <c r="K977" t="s">
        <v>2539</v>
      </c>
      <c r="M977" t="s">
        <v>282</v>
      </c>
      <c r="O977" t="s">
        <v>161</v>
      </c>
    </row>
    <row r="978" spans="1:19" x14ac:dyDescent="0.2">
      <c r="A978" t="s">
        <v>2540</v>
      </c>
      <c r="B978" t="s">
        <v>2541</v>
      </c>
      <c r="C978" t="s">
        <v>2542</v>
      </c>
      <c r="D978" t="s">
        <v>61</v>
      </c>
      <c r="E978" t="s">
        <v>133</v>
      </c>
      <c r="K978" t="s">
        <v>2543</v>
      </c>
      <c r="M978" t="s">
        <v>282</v>
      </c>
      <c r="O978" t="s">
        <v>161</v>
      </c>
      <c r="P978">
        <v>4507072</v>
      </c>
    </row>
    <row r="979" spans="1:19" x14ac:dyDescent="0.2">
      <c r="A979" t="s">
        <v>2544</v>
      </c>
      <c r="B979" t="s">
        <v>2545</v>
      </c>
      <c r="C979" t="s">
        <v>2546</v>
      </c>
      <c r="D979" t="s">
        <v>24</v>
      </c>
      <c r="E979" t="s">
        <v>133</v>
      </c>
      <c r="M979" t="s">
        <v>282</v>
      </c>
      <c r="O979" t="s">
        <v>161</v>
      </c>
      <c r="Q979" t="s">
        <v>2547</v>
      </c>
      <c r="S979" t="s">
        <v>2040</v>
      </c>
    </row>
    <row r="980" spans="1:19" x14ac:dyDescent="0.2">
      <c r="A980" t="s">
        <v>2548</v>
      </c>
      <c r="B980" t="s">
        <v>2549</v>
      </c>
      <c r="C980" t="s">
        <v>2550</v>
      </c>
      <c r="D980" t="s">
        <v>61</v>
      </c>
      <c r="E980" t="s">
        <v>133</v>
      </c>
      <c r="K980" t="s">
        <v>2551</v>
      </c>
      <c r="M980" t="s">
        <v>282</v>
      </c>
      <c r="O980" t="s">
        <v>161</v>
      </c>
      <c r="P980">
        <v>4507046</v>
      </c>
    </row>
    <row r="981" spans="1:19" x14ac:dyDescent="0.2">
      <c r="A981" t="s">
        <v>2552</v>
      </c>
      <c r="B981" t="s">
        <v>2553</v>
      </c>
      <c r="C981" t="s">
        <v>2554</v>
      </c>
      <c r="D981" t="s">
        <v>24</v>
      </c>
      <c r="E981" t="s">
        <v>133</v>
      </c>
      <c r="M981" t="s">
        <v>282</v>
      </c>
      <c r="O981" t="s">
        <v>161</v>
      </c>
      <c r="Q981" t="s">
        <v>2555</v>
      </c>
      <c r="S981" t="s">
        <v>2040</v>
      </c>
    </row>
    <row r="982" spans="1:19" x14ac:dyDescent="0.2">
      <c r="A982" t="s">
        <v>2556</v>
      </c>
      <c r="B982" t="s">
        <v>2557</v>
      </c>
      <c r="C982" t="s">
        <v>2558</v>
      </c>
      <c r="D982" t="s">
        <v>61</v>
      </c>
      <c r="E982" t="s">
        <v>133</v>
      </c>
      <c r="K982" t="s">
        <v>2559</v>
      </c>
      <c r="M982" t="s">
        <v>282</v>
      </c>
      <c r="O982" t="s">
        <v>161</v>
      </c>
      <c r="P982">
        <v>4507024</v>
      </c>
    </row>
    <row r="983" spans="1:19" x14ac:dyDescent="0.2">
      <c r="A983" t="s">
        <v>2560</v>
      </c>
      <c r="B983" t="s">
        <v>2561</v>
      </c>
      <c r="C983" t="s">
        <v>2562</v>
      </c>
      <c r="D983" t="s">
        <v>24</v>
      </c>
      <c r="E983" t="s">
        <v>133</v>
      </c>
      <c r="M983" t="s">
        <v>282</v>
      </c>
      <c r="O983" t="s">
        <v>161</v>
      </c>
      <c r="Q983" t="s">
        <v>2563</v>
      </c>
      <c r="S983" t="s">
        <v>2040</v>
      </c>
    </row>
    <row r="984" spans="1:19" x14ac:dyDescent="0.2">
      <c r="A984" t="s">
        <v>2564</v>
      </c>
      <c r="B984" t="s">
        <v>2565</v>
      </c>
      <c r="C984" t="s">
        <v>2566</v>
      </c>
      <c r="D984" t="s">
        <v>61</v>
      </c>
      <c r="E984" t="s">
        <v>133</v>
      </c>
      <c r="K984" t="s">
        <v>2567</v>
      </c>
      <c r="M984" t="s">
        <v>282</v>
      </c>
      <c r="O984" t="s">
        <v>161</v>
      </c>
      <c r="P984">
        <v>4507056</v>
      </c>
    </row>
    <row r="985" spans="1:19" x14ac:dyDescent="0.2">
      <c r="A985" t="s">
        <v>2568</v>
      </c>
      <c r="B985" t="s">
        <v>2569</v>
      </c>
      <c r="C985" t="s">
        <v>2570</v>
      </c>
      <c r="D985" t="s">
        <v>24</v>
      </c>
      <c r="E985" t="s">
        <v>133</v>
      </c>
      <c r="M985" t="s">
        <v>282</v>
      </c>
      <c r="O985" t="s">
        <v>161</v>
      </c>
      <c r="Q985" t="s">
        <v>2571</v>
      </c>
      <c r="S985" t="s">
        <v>2040</v>
      </c>
    </row>
    <row r="986" spans="1:19" x14ac:dyDescent="0.2">
      <c r="A986" t="s">
        <v>2572</v>
      </c>
      <c r="B986" t="s">
        <v>2573</v>
      </c>
      <c r="C986" t="s">
        <v>2574</v>
      </c>
      <c r="D986" t="s">
        <v>61</v>
      </c>
      <c r="E986" t="s">
        <v>133</v>
      </c>
      <c r="K986" t="s">
        <v>2575</v>
      </c>
      <c r="M986" t="s">
        <v>282</v>
      </c>
      <c r="O986" t="s">
        <v>161</v>
      </c>
      <c r="P986">
        <v>4507036</v>
      </c>
    </row>
    <row r="987" spans="1:19" x14ac:dyDescent="0.2">
      <c r="A987" t="s">
        <v>2576</v>
      </c>
      <c r="B987" t="s">
        <v>2577</v>
      </c>
      <c r="C987" t="s">
        <v>2578</v>
      </c>
      <c r="D987" t="s">
        <v>24</v>
      </c>
      <c r="E987" t="s">
        <v>133</v>
      </c>
      <c r="M987" t="s">
        <v>282</v>
      </c>
      <c r="O987" t="s">
        <v>161</v>
      </c>
      <c r="Q987" t="s">
        <v>2579</v>
      </c>
      <c r="S987" t="s">
        <v>2040</v>
      </c>
    </row>
    <row r="988" spans="1:19" x14ac:dyDescent="0.2">
      <c r="A988" t="s">
        <v>2580</v>
      </c>
      <c r="B988" t="s">
        <v>2581</v>
      </c>
      <c r="C988" t="s">
        <v>2582</v>
      </c>
      <c r="D988" t="s">
        <v>61</v>
      </c>
      <c r="E988" t="s">
        <v>133</v>
      </c>
      <c r="K988" t="s">
        <v>2583</v>
      </c>
      <c r="M988" t="s">
        <v>282</v>
      </c>
      <c r="O988" t="s">
        <v>161</v>
      </c>
      <c r="P988">
        <v>4507072</v>
      </c>
    </row>
    <row r="989" spans="1:19" x14ac:dyDescent="0.2">
      <c r="A989" t="s">
        <v>2584</v>
      </c>
      <c r="B989" t="s">
        <v>2585</v>
      </c>
      <c r="C989" t="s">
        <v>2586</v>
      </c>
      <c r="D989" t="s">
        <v>24</v>
      </c>
      <c r="E989" t="s">
        <v>133</v>
      </c>
      <c r="M989" t="s">
        <v>282</v>
      </c>
      <c r="O989" t="s">
        <v>161</v>
      </c>
      <c r="Q989" t="s">
        <v>2587</v>
      </c>
      <c r="S989" t="s">
        <v>2040</v>
      </c>
    </row>
    <row r="990" spans="1:19" x14ac:dyDescent="0.2">
      <c r="A990" t="s">
        <v>2588</v>
      </c>
      <c r="B990" t="s">
        <v>2589</v>
      </c>
      <c r="C990" t="s">
        <v>2590</v>
      </c>
      <c r="D990" t="s">
        <v>61</v>
      </c>
      <c r="E990" t="s">
        <v>133</v>
      </c>
      <c r="K990" t="s">
        <v>2591</v>
      </c>
      <c r="M990" t="s">
        <v>282</v>
      </c>
      <c r="O990" t="s">
        <v>161</v>
      </c>
      <c r="P990">
        <v>4507046</v>
      </c>
    </row>
    <row r="991" spans="1:19" x14ac:dyDescent="0.2">
      <c r="A991" t="s">
        <v>2592</v>
      </c>
      <c r="B991" t="s">
        <v>2593</v>
      </c>
      <c r="C991" t="s">
        <v>2594</v>
      </c>
      <c r="D991" t="s">
        <v>24</v>
      </c>
      <c r="E991" t="s">
        <v>133</v>
      </c>
      <c r="M991" t="s">
        <v>282</v>
      </c>
      <c r="O991" t="s">
        <v>161</v>
      </c>
      <c r="Q991" t="s">
        <v>2595</v>
      </c>
      <c r="S991" t="s">
        <v>2040</v>
      </c>
    </row>
    <row r="992" spans="1:19" x14ac:dyDescent="0.2">
      <c r="A992" t="s">
        <v>2596</v>
      </c>
      <c r="B992" t="s">
        <v>2597</v>
      </c>
      <c r="C992" t="s">
        <v>2598</v>
      </c>
      <c r="D992" t="s">
        <v>61</v>
      </c>
      <c r="E992" t="s">
        <v>133</v>
      </c>
      <c r="K992" t="s">
        <v>2599</v>
      </c>
      <c r="M992" t="s">
        <v>282</v>
      </c>
      <c r="O992" t="s">
        <v>161</v>
      </c>
      <c r="P992">
        <v>4507024</v>
      </c>
    </row>
    <row r="993" spans="1:19" x14ac:dyDescent="0.2">
      <c r="A993" t="s">
        <v>2600</v>
      </c>
      <c r="B993" t="s">
        <v>2601</v>
      </c>
      <c r="C993" t="s">
        <v>2602</v>
      </c>
      <c r="D993" t="s">
        <v>24</v>
      </c>
      <c r="E993" t="s">
        <v>133</v>
      </c>
      <c r="M993" t="s">
        <v>282</v>
      </c>
      <c r="O993" t="s">
        <v>161</v>
      </c>
      <c r="Q993" t="s">
        <v>2603</v>
      </c>
      <c r="S993" t="s">
        <v>2040</v>
      </c>
    </row>
    <row r="994" spans="1:19" x14ac:dyDescent="0.2">
      <c r="A994" t="s">
        <v>2604</v>
      </c>
      <c r="B994" t="s">
        <v>2605</v>
      </c>
      <c r="C994" t="s">
        <v>2606</v>
      </c>
      <c r="D994" t="s">
        <v>61</v>
      </c>
      <c r="E994" t="s">
        <v>133</v>
      </c>
      <c r="K994" t="s">
        <v>2607</v>
      </c>
      <c r="M994" t="s">
        <v>282</v>
      </c>
      <c r="O994" t="s">
        <v>161</v>
      </c>
      <c r="P994">
        <v>4507056</v>
      </c>
    </row>
    <row r="995" spans="1:19" x14ac:dyDescent="0.2">
      <c r="A995" t="s">
        <v>2608</v>
      </c>
      <c r="B995" t="s">
        <v>2609</v>
      </c>
      <c r="C995" t="s">
        <v>2610</v>
      </c>
      <c r="D995" t="s">
        <v>24</v>
      </c>
      <c r="E995" t="s">
        <v>133</v>
      </c>
      <c r="M995" t="s">
        <v>282</v>
      </c>
      <c r="O995" t="s">
        <v>161</v>
      </c>
      <c r="Q995" t="s">
        <v>2611</v>
      </c>
      <c r="S995" t="s">
        <v>2040</v>
      </c>
    </row>
    <row r="996" spans="1:19" x14ac:dyDescent="0.2">
      <c r="A996" t="s">
        <v>2612</v>
      </c>
      <c r="B996" t="s">
        <v>2613</v>
      </c>
      <c r="C996" t="s">
        <v>2614</v>
      </c>
      <c r="D996" t="s">
        <v>61</v>
      </c>
      <c r="E996" t="s">
        <v>133</v>
      </c>
      <c r="K996" t="s">
        <v>2615</v>
      </c>
      <c r="M996" t="s">
        <v>282</v>
      </c>
      <c r="O996" t="s">
        <v>161</v>
      </c>
      <c r="P996">
        <v>4507036</v>
      </c>
    </row>
    <row r="997" spans="1:19" x14ac:dyDescent="0.2">
      <c r="A997" t="s">
        <v>2616</v>
      </c>
      <c r="B997" t="s">
        <v>2617</v>
      </c>
      <c r="C997" t="s">
        <v>2618</v>
      </c>
      <c r="D997" t="s">
        <v>24</v>
      </c>
      <c r="E997" t="s">
        <v>133</v>
      </c>
      <c r="M997" t="s">
        <v>282</v>
      </c>
      <c r="O997" t="s">
        <v>161</v>
      </c>
      <c r="Q997" t="s">
        <v>2619</v>
      </c>
      <c r="S997" t="s">
        <v>2040</v>
      </c>
    </row>
    <row r="998" spans="1:19" x14ac:dyDescent="0.2">
      <c r="A998" t="s">
        <v>2620</v>
      </c>
      <c r="B998" t="s">
        <v>2621</v>
      </c>
      <c r="C998" t="s">
        <v>2622</v>
      </c>
      <c r="D998" t="s">
        <v>61</v>
      </c>
      <c r="E998" t="s">
        <v>133</v>
      </c>
      <c r="K998" t="s">
        <v>2623</v>
      </c>
      <c r="M998" t="s">
        <v>282</v>
      </c>
      <c r="O998" t="s">
        <v>161</v>
      </c>
    </row>
    <row r="999" spans="1:19" x14ac:dyDescent="0.2">
      <c r="A999" t="s">
        <v>2624</v>
      </c>
      <c r="B999" t="s">
        <v>2625</v>
      </c>
      <c r="C999" t="s">
        <v>2626</v>
      </c>
      <c r="D999" t="s">
        <v>24</v>
      </c>
      <c r="E999" t="s">
        <v>133</v>
      </c>
      <c r="M999" t="s">
        <v>282</v>
      </c>
      <c r="O999" t="s">
        <v>161</v>
      </c>
      <c r="S999" t="s">
        <v>2040</v>
      </c>
    </row>
    <row r="1000" spans="1:19" x14ac:dyDescent="0.2">
      <c r="A1000" t="s">
        <v>2627</v>
      </c>
      <c r="B1000" t="s">
        <v>2628</v>
      </c>
      <c r="C1000" t="s">
        <v>2629</v>
      </c>
      <c r="D1000" t="s">
        <v>24</v>
      </c>
      <c r="E1000" t="s">
        <v>133</v>
      </c>
      <c r="M1000" t="s">
        <v>282</v>
      </c>
      <c r="O1000" t="s">
        <v>161</v>
      </c>
      <c r="S1000" t="s">
        <v>2040</v>
      </c>
    </row>
    <row r="1001" spans="1:19" x14ac:dyDescent="0.2">
      <c r="A1001" t="s">
        <v>2630</v>
      </c>
      <c r="B1001" t="s">
        <v>2631</v>
      </c>
      <c r="C1001" t="s">
        <v>2632</v>
      </c>
      <c r="D1001" t="s">
        <v>24</v>
      </c>
      <c r="E1001" t="s">
        <v>133</v>
      </c>
      <c r="M1001" t="s">
        <v>282</v>
      </c>
      <c r="O1001" t="s">
        <v>161</v>
      </c>
      <c r="S1001" t="s">
        <v>2040</v>
      </c>
    </row>
    <row r="1002" spans="1:19" x14ac:dyDescent="0.2">
      <c r="A1002" t="s">
        <v>2633</v>
      </c>
      <c r="B1002" t="s">
        <v>2634</v>
      </c>
      <c r="C1002" t="s">
        <v>2635</v>
      </c>
      <c r="D1002" t="s">
        <v>24</v>
      </c>
      <c r="E1002" t="s">
        <v>133</v>
      </c>
      <c r="M1002" t="s">
        <v>282</v>
      </c>
      <c r="O1002" t="s">
        <v>161</v>
      </c>
      <c r="S1002" t="s">
        <v>2040</v>
      </c>
    </row>
    <row r="1003" spans="1:19" x14ac:dyDescent="0.2">
      <c r="A1003" t="s">
        <v>2636</v>
      </c>
      <c r="B1003" t="s">
        <v>2637</v>
      </c>
      <c r="C1003" t="s">
        <v>2638</v>
      </c>
      <c r="D1003" t="s">
        <v>24</v>
      </c>
      <c r="E1003" t="s">
        <v>133</v>
      </c>
      <c r="M1003" t="s">
        <v>282</v>
      </c>
      <c r="O1003" t="s">
        <v>161</v>
      </c>
      <c r="S1003" t="s">
        <v>2040</v>
      </c>
    </row>
    <row r="1004" spans="1:19" x14ac:dyDescent="0.2">
      <c r="A1004" t="s">
        <v>2639</v>
      </c>
      <c r="B1004" t="s">
        <v>2640</v>
      </c>
      <c r="C1004" t="s">
        <v>2641</v>
      </c>
      <c r="D1004" t="s">
        <v>14</v>
      </c>
      <c r="E1004" t="s">
        <v>133</v>
      </c>
      <c r="K1004" t="s">
        <v>2642</v>
      </c>
      <c r="M1004" t="s">
        <v>282</v>
      </c>
      <c r="O1004" t="s">
        <v>161</v>
      </c>
    </row>
    <row r="1005" spans="1:19" x14ac:dyDescent="0.2">
      <c r="A1005" t="s">
        <v>2643</v>
      </c>
      <c r="B1005" t="s">
        <v>2644</v>
      </c>
      <c r="C1005" t="s">
        <v>2645</v>
      </c>
      <c r="D1005" t="s">
        <v>24</v>
      </c>
      <c r="E1005" t="s">
        <v>133</v>
      </c>
      <c r="M1005" t="s">
        <v>137</v>
      </c>
      <c r="O1005" t="s">
        <v>161</v>
      </c>
      <c r="S1005" t="s">
        <v>2646</v>
      </c>
    </row>
    <row r="1006" spans="1:19" x14ac:dyDescent="0.2">
      <c r="A1006" t="s">
        <v>2647</v>
      </c>
      <c r="B1006" t="s">
        <v>2648</v>
      </c>
      <c r="C1006" t="s">
        <v>2649</v>
      </c>
      <c r="D1006" t="s">
        <v>14</v>
      </c>
      <c r="E1006" t="s">
        <v>133</v>
      </c>
      <c r="K1006" t="s">
        <v>2650</v>
      </c>
      <c r="M1006" t="s">
        <v>282</v>
      </c>
      <c r="O1006" t="s">
        <v>161</v>
      </c>
    </row>
    <row r="1007" spans="1:19" x14ac:dyDescent="0.2">
      <c r="A1007" t="s">
        <v>2651</v>
      </c>
      <c r="B1007" t="s">
        <v>2652</v>
      </c>
      <c r="C1007" t="s">
        <v>2653</v>
      </c>
      <c r="D1007" t="s">
        <v>14</v>
      </c>
      <c r="E1007" t="s">
        <v>133</v>
      </c>
      <c r="K1007" t="s">
        <v>2654</v>
      </c>
      <c r="M1007" t="s">
        <v>282</v>
      </c>
      <c r="O1007" t="s">
        <v>161</v>
      </c>
    </row>
    <row r="1008" spans="1:19" x14ac:dyDescent="0.2">
      <c r="A1008" t="s">
        <v>2655</v>
      </c>
      <c r="B1008" t="s">
        <v>2656</v>
      </c>
      <c r="C1008" t="s">
        <v>2657</v>
      </c>
      <c r="D1008" t="s">
        <v>24</v>
      </c>
      <c r="E1008" t="s">
        <v>133</v>
      </c>
      <c r="M1008" t="s">
        <v>282</v>
      </c>
      <c r="O1008" t="s">
        <v>161</v>
      </c>
      <c r="S1008" t="s">
        <v>2646</v>
      </c>
    </row>
    <row r="1009" spans="1:20" x14ac:dyDescent="0.2">
      <c r="A1009" t="s">
        <v>2658</v>
      </c>
      <c r="B1009" t="s">
        <v>2659</v>
      </c>
      <c r="C1009" t="s">
        <v>2660</v>
      </c>
      <c r="D1009" t="s">
        <v>14</v>
      </c>
      <c r="E1009" t="s">
        <v>133</v>
      </c>
      <c r="K1009" t="s">
        <v>2661</v>
      </c>
      <c r="M1009" t="s">
        <v>282</v>
      </c>
      <c r="O1009" t="s">
        <v>150</v>
      </c>
    </row>
    <row r="1010" spans="1:20" x14ac:dyDescent="0.2">
      <c r="A1010" t="s">
        <v>2662</v>
      </c>
      <c r="B1010" t="s">
        <v>2663</v>
      </c>
      <c r="C1010" t="s">
        <v>2664</v>
      </c>
      <c r="D1010" t="s">
        <v>24</v>
      </c>
      <c r="E1010" t="s">
        <v>133</v>
      </c>
      <c r="M1010" t="s">
        <v>282</v>
      </c>
      <c r="O1010" t="s">
        <v>150</v>
      </c>
      <c r="S1010" t="s">
        <v>2646</v>
      </c>
    </row>
    <row r="1011" spans="1:20" x14ac:dyDescent="0.2">
      <c r="A1011" t="s">
        <v>2665</v>
      </c>
      <c r="B1011" t="s">
        <v>2666</v>
      </c>
      <c r="C1011" t="s">
        <v>2667</v>
      </c>
      <c r="D1011" t="s">
        <v>14</v>
      </c>
      <c r="E1011" t="s">
        <v>133</v>
      </c>
      <c r="K1011" t="s">
        <v>2668</v>
      </c>
      <c r="M1011" t="s">
        <v>282</v>
      </c>
      <c r="O1011" t="s">
        <v>150</v>
      </c>
    </row>
    <row r="1012" spans="1:20" x14ac:dyDescent="0.2">
      <c r="A1012" t="s">
        <v>2669</v>
      </c>
      <c r="B1012" t="s">
        <v>2670</v>
      </c>
      <c r="C1012" t="s">
        <v>2671</v>
      </c>
      <c r="D1012" t="s">
        <v>24</v>
      </c>
      <c r="E1012" t="s">
        <v>133</v>
      </c>
      <c r="M1012" t="s">
        <v>282</v>
      </c>
      <c r="O1012" t="s">
        <v>150</v>
      </c>
      <c r="S1012" t="s">
        <v>2646</v>
      </c>
    </row>
    <row r="1013" spans="1:20" x14ac:dyDescent="0.2">
      <c r="A1013" t="s">
        <v>2672</v>
      </c>
      <c r="B1013" t="s">
        <v>2673</v>
      </c>
      <c r="C1013" t="s">
        <v>2674</v>
      </c>
      <c r="D1013" t="s">
        <v>24</v>
      </c>
      <c r="E1013" t="s">
        <v>133</v>
      </c>
      <c r="M1013" t="s">
        <v>282</v>
      </c>
      <c r="O1013" t="s">
        <v>150</v>
      </c>
      <c r="S1013" t="s">
        <v>2646</v>
      </c>
    </row>
    <row r="1014" spans="1:20" x14ac:dyDescent="0.2">
      <c r="A1014" t="s">
        <v>2675</v>
      </c>
      <c r="B1014" t="s">
        <v>2676</v>
      </c>
      <c r="C1014" t="s">
        <v>2677</v>
      </c>
      <c r="D1014" t="s">
        <v>14</v>
      </c>
      <c r="E1014" t="s">
        <v>133</v>
      </c>
      <c r="K1014" t="s">
        <v>2678</v>
      </c>
      <c r="M1014" t="s">
        <v>282</v>
      </c>
      <c r="O1014" t="s">
        <v>161</v>
      </c>
    </row>
    <row r="1015" spans="1:20" x14ac:dyDescent="0.2">
      <c r="A1015" t="s">
        <v>2679</v>
      </c>
      <c r="B1015" t="s">
        <v>2680</v>
      </c>
      <c r="C1015" t="s">
        <v>2681</v>
      </c>
      <c r="D1015" t="s">
        <v>24</v>
      </c>
      <c r="E1015" t="s">
        <v>133</v>
      </c>
      <c r="M1015" t="s">
        <v>282</v>
      </c>
      <c r="O1015" t="s">
        <v>161</v>
      </c>
      <c r="S1015" t="s">
        <v>2646</v>
      </c>
    </row>
    <row r="1016" spans="1:20" x14ac:dyDescent="0.2">
      <c r="A1016" t="s">
        <v>2682</v>
      </c>
      <c r="B1016" t="s">
        <v>2683</v>
      </c>
      <c r="C1016" t="s">
        <v>2684</v>
      </c>
      <c r="D1016" t="s">
        <v>14</v>
      </c>
      <c r="E1016" t="s">
        <v>133</v>
      </c>
      <c r="K1016" t="s">
        <v>2685</v>
      </c>
      <c r="M1016" t="s">
        <v>282</v>
      </c>
      <c r="O1016" t="s">
        <v>150</v>
      </c>
    </row>
    <row r="1017" spans="1:20" x14ac:dyDescent="0.2">
      <c r="A1017" t="s">
        <v>2686</v>
      </c>
      <c r="B1017" t="s">
        <v>2687</v>
      </c>
      <c r="C1017" t="s">
        <v>2688</v>
      </c>
      <c r="D1017" t="s">
        <v>24</v>
      </c>
      <c r="E1017" t="s">
        <v>133</v>
      </c>
      <c r="M1017" t="s">
        <v>282</v>
      </c>
      <c r="O1017" t="s">
        <v>150</v>
      </c>
      <c r="S1017" t="s">
        <v>2646</v>
      </c>
    </row>
    <row r="1018" spans="1:20" x14ac:dyDescent="0.2">
      <c r="A1018" t="s">
        <v>2689</v>
      </c>
      <c r="B1018" t="s">
        <v>2690</v>
      </c>
      <c r="C1018" t="s">
        <v>2691</v>
      </c>
      <c r="D1018" t="s">
        <v>14</v>
      </c>
      <c r="E1018" t="s">
        <v>133</v>
      </c>
      <c r="K1018" t="s">
        <v>2692</v>
      </c>
      <c r="M1018" t="s">
        <v>282</v>
      </c>
      <c r="O1018" t="s">
        <v>150</v>
      </c>
    </row>
    <row r="1019" spans="1:20" x14ac:dyDescent="0.2">
      <c r="A1019" t="s">
        <v>2693</v>
      </c>
      <c r="B1019" t="s">
        <v>2694</v>
      </c>
      <c r="C1019" t="s">
        <v>2695</v>
      </c>
      <c r="D1019" t="s">
        <v>24</v>
      </c>
      <c r="E1019" t="s">
        <v>133</v>
      </c>
      <c r="M1019" t="s">
        <v>282</v>
      </c>
      <c r="O1019" t="s">
        <v>150</v>
      </c>
      <c r="S1019" t="s">
        <v>2646</v>
      </c>
    </row>
    <row r="1020" spans="1:20" x14ac:dyDescent="0.2">
      <c r="A1020" t="s">
        <v>2696</v>
      </c>
      <c r="B1020" t="s">
        <v>2697</v>
      </c>
      <c r="C1020" t="s">
        <v>2698</v>
      </c>
      <c r="D1020" t="s">
        <v>24</v>
      </c>
      <c r="E1020" t="s">
        <v>133</v>
      </c>
      <c r="M1020" t="s">
        <v>282</v>
      </c>
      <c r="O1020" t="s">
        <v>150</v>
      </c>
      <c r="S1020" t="s">
        <v>2646</v>
      </c>
    </row>
    <row r="1021" spans="1:20" x14ac:dyDescent="0.2">
      <c r="A1021" t="s">
        <v>2699</v>
      </c>
      <c r="B1021" t="s">
        <v>2700</v>
      </c>
      <c r="C1021" t="s">
        <v>2701</v>
      </c>
      <c r="D1021" t="s">
        <v>24</v>
      </c>
      <c r="E1021" t="s">
        <v>133</v>
      </c>
      <c r="M1021" t="s">
        <v>282</v>
      </c>
      <c r="O1021" t="s">
        <v>161</v>
      </c>
      <c r="S1021" t="s">
        <v>2646</v>
      </c>
    </row>
    <row r="1022" spans="1:20" x14ac:dyDescent="0.2">
      <c r="A1022" t="s">
        <v>2702</v>
      </c>
      <c r="B1022" t="s">
        <v>2703</v>
      </c>
      <c r="C1022" t="s">
        <v>2704</v>
      </c>
      <c r="D1022" t="s">
        <v>35</v>
      </c>
      <c r="E1022" t="s">
        <v>133</v>
      </c>
      <c r="F1022" t="s">
        <v>133</v>
      </c>
      <c r="G1022" t="s">
        <v>1728</v>
      </c>
      <c r="M1022" t="s">
        <v>776</v>
      </c>
      <c r="O1022" t="s">
        <v>161</v>
      </c>
      <c r="Q1022" t="s">
        <v>281</v>
      </c>
      <c r="T1022" t="s">
        <v>265</v>
      </c>
    </row>
    <row r="1023" spans="1:20" x14ac:dyDescent="0.2">
      <c r="A1023" t="s">
        <v>73</v>
      </c>
      <c r="B1023" t="s">
        <v>74</v>
      </c>
      <c r="C1023" t="s">
        <v>75</v>
      </c>
      <c r="D1023" t="s">
        <v>24</v>
      </c>
      <c r="E1023" t="s">
        <v>505</v>
      </c>
      <c r="F1023" t="s">
        <v>133</v>
      </c>
      <c r="G1023" t="s">
        <v>133</v>
      </c>
      <c r="O1023" t="s">
        <v>161</v>
      </c>
      <c r="S1023" t="s">
        <v>538</v>
      </c>
      <c r="T1023" t="s">
        <v>265</v>
      </c>
    </row>
    <row r="1024" spans="1:20" x14ac:dyDescent="0.2">
      <c r="A1024" t="s">
        <v>90</v>
      </c>
      <c r="B1024" t="s">
        <v>91</v>
      </c>
      <c r="C1024" t="s">
        <v>92</v>
      </c>
      <c r="D1024" t="s">
        <v>24</v>
      </c>
      <c r="E1024" t="s">
        <v>505</v>
      </c>
      <c r="F1024" t="s">
        <v>133</v>
      </c>
      <c r="G1024" t="s">
        <v>133</v>
      </c>
      <c r="O1024" t="s">
        <v>161</v>
      </c>
      <c r="S1024" t="s">
        <v>538</v>
      </c>
      <c r="T1024" t="s">
        <v>265</v>
      </c>
    </row>
    <row r="1025" spans="1:20" x14ac:dyDescent="0.2">
      <c r="A1025" t="s">
        <v>39</v>
      </c>
      <c r="B1025" t="s">
        <v>40</v>
      </c>
      <c r="C1025" t="s">
        <v>41</v>
      </c>
      <c r="D1025" t="s">
        <v>14</v>
      </c>
      <c r="E1025" t="s">
        <v>133</v>
      </c>
      <c r="F1025" t="s">
        <v>133</v>
      </c>
      <c r="G1025" t="s">
        <v>133</v>
      </c>
      <c r="K1025" t="s">
        <v>42</v>
      </c>
      <c r="O1025" t="s">
        <v>161</v>
      </c>
    </row>
    <row r="1026" spans="1:20" x14ac:dyDescent="0.2">
      <c r="A1026" t="s">
        <v>11</v>
      </c>
      <c r="B1026" t="s">
        <v>12</v>
      </c>
      <c r="C1026" t="s">
        <v>13</v>
      </c>
      <c r="D1026" t="s">
        <v>14</v>
      </c>
      <c r="E1026" t="s">
        <v>133</v>
      </c>
      <c r="F1026" t="s">
        <v>133</v>
      </c>
      <c r="G1026" t="s">
        <v>133</v>
      </c>
      <c r="K1026" t="s">
        <v>15</v>
      </c>
      <c r="L1026" t="s">
        <v>135</v>
      </c>
      <c r="O1026" t="s">
        <v>161</v>
      </c>
    </row>
    <row r="1027" spans="1:20" x14ac:dyDescent="0.2">
      <c r="A1027" t="s">
        <v>66</v>
      </c>
      <c r="B1027" t="s">
        <v>67</v>
      </c>
      <c r="C1027" t="s">
        <v>68</v>
      </c>
      <c r="D1027" t="s">
        <v>35</v>
      </c>
      <c r="E1027" t="s">
        <v>133</v>
      </c>
      <c r="F1027" t="s">
        <v>2705</v>
      </c>
      <c r="G1027" t="s">
        <v>133</v>
      </c>
      <c r="M1027" t="s">
        <v>282</v>
      </c>
      <c r="O1027" t="s">
        <v>161</v>
      </c>
      <c r="S1027" t="s">
        <v>538</v>
      </c>
      <c r="T1027" t="s">
        <v>265</v>
      </c>
    </row>
    <row r="1028" spans="1:20" x14ac:dyDescent="0.2">
      <c r="A1028" t="s">
        <v>17</v>
      </c>
      <c r="B1028" t="s">
        <v>18</v>
      </c>
      <c r="C1028" t="s">
        <v>19</v>
      </c>
      <c r="D1028" t="s">
        <v>14</v>
      </c>
      <c r="E1028" t="s">
        <v>133</v>
      </c>
      <c r="F1028" t="s">
        <v>133</v>
      </c>
      <c r="G1028" t="s">
        <v>133</v>
      </c>
      <c r="K1028" t="s">
        <v>20</v>
      </c>
      <c r="O1028" t="s">
        <v>161</v>
      </c>
    </row>
    <row r="1029" spans="1:20" x14ac:dyDescent="0.2">
      <c r="A1029" t="s">
        <v>25</v>
      </c>
      <c r="B1029" t="s">
        <v>26</v>
      </c>
      <c r="C1029" t="s">
        <v>26</v>
      </c>
      <c r="D1029" t="s">
        <v>14</v>
      </c>
      <c r="E1029" t="s">
        <v>133</v>
      </c>
      <c r="F1029" t="s">
        <v>133</v>
      </c>
      <c r="G1029" t="s">
        <v>133</v>
      </c>
      <c r="K1029" t="s">
        <v>28</v>
      </c>
      <c r="L1029" t="s">
        <v>135</v>
      </c>
      <c r="O1029" t="s">
        <v>161</v>
      </c>
    </row>
    <row r="1030" spans="1:20" x14ac:dyDescent="0.2">
      <c r="A1030" t="s">
        <v>2706</v>
      </c>
      <c r="B1030" t="s">
        <v>2707</v>
      </c>
      <c r="C1030" t="s">
        <v>2708</v>
      </c>
      <c r="D1030" t="s">
        <v>14</v>
      </c>
      <c r="E1030" t="s">
        <v>133</v>
      </c>
      <c r="F1030" t="s">
        <v>133</v>
      </c>
      <c r="G1030" t="s">
        <v>133</v>
      </c>
      <c r="K1030" t="s">
        <v>2709</v>
      </c>
      <c r="L1030" t="s">
        <v>135</v>
      </c>
      <c r="M1030" t="s">
        <v>137</v>
      </c>
      <c r="N1030">
        <v>2</v>
      </c>
      <c r="O1030" t="s">
        <v>161</v>
      </c>
      <c r="P1030" t="s">
        <v>243</v>
      </c>
    </row>
    <row r="1031" spans="1:20" x14ac:dyDescent="0.2">
      <c r="A1031" t="s">
        <v>2710</v>
      </c>
      <c r="B1031" t="s">
        <v>2711</v>
      </c>
      <c r="C1031" t="s">
        <v>2712</v>
      </c>
      <c r="D1031" t="s">
        <v>61</v>
      </c>
      <c r="E1031" t="s">
        <v>133</v>
      </c>
      <c r="F1031" t="s">
        <v>133</v>
      </c>
      <c r="G1031" t="s">
        <v>133</v>
      </c>
      <c r="K1031" t="s">
        <v>2713</v>
      </c>
      <c r="L1031" t="s">
        <v>135</v>
      </c>
      <c r="M1031" t="s">
        <v>137</v>
      </c>
      <c r="O1031" t="s">
        <v>161</v>
      </c>
      <c r="P1031">
        <v>410100</v>
      </c>
    </row>
    <row r="1032" spans="1:20" x14ac:dyDescent="0.2">
      <c r="A1032" t="s">
        <v>2714</v>
      </c>
      <c r="B1032" t="s">
        <v>2715</v>
      </c>
      <c r="C1032" t="s">
        <v>2716</v>
      </c>
      <c r="D1032" t="s">
        <v>14</v>
      </c>
      <c r="E1032" t="s">
        <v>133</v>
      </c>
      <c r="F1032" t="s">
        <v>2717</v>
      </c>
      <c r="G1032" t="s">
        <v>133</v>
      </c>
      <c r="K1032" t="s">
        <v>20</v>
      </c>
      <c r="O1032" t="s">
        <v>161</v>
      </c>
    </row>
    <row r="1033" spans="1:20" x14ac:dyDescent="0.2">
      <c r="A1033" t="s">
        <v>2718</v>
      </c>
      <c r="B1033" t="s">
        <v>2719</v>
      </c>
      <c r="C1033" t="s">
        <v>2720</v>
      </c>
      <c r="D1033" t="s">
        <v>35</v>
      </c>
      <c r="E1033" t="s">
        <v>133</v>
      </c>
      <c r="H1033" t="s">
        <v>133</v>
      </c>
      <c r="I1033" t="s">
        <v>133</v>
      </c>
      <c r="J1033" t="s">
        <v>133</v>
      </c>
      <c r="O1033" t="s">
        <v>161</v>
      </c>
      <c r="R1033" t="s">
        <v>1680</v>
      </c>
      <c r="S1033" t="s">
        <v>1658</v>
      </c>
      <c r="T1033" t="s">
        <v>487</v>
      </c>
    </row>
    <row r="1034" spans="1:20" x14ac:dyDescent="0.2">
      <c r="A1034" t="s">
        <v>2721</v>
      </c>
      <c r="B1034" t="s">
        <v>2722</v>
      </c>
      <c r="C1034" t="s">
        <v>2723</v>
      </c>
      <c r="D1034" t="s">
        <v>14</v>
      </c>
      <c r="E1034" t="s">
        <v>133</v>
      </c>
      <c r="K1034" t="s">
        <v>2724</v>
      </c>
      <c r="O1034" t="s">
        <v>150</v>
      </c>
    </row>
    <row r="1035" spans="1:20" x14ac:dyDescent="0.2">
      <c r="A1035" t="s">
        <v>2725</v>
      </c>
      <c r="B1035" t="s">
        <v>2726</v>
      </c>
      <c r="C1035" t="s">
        <v>2727</v>
      </c>
      <c r="D1035" t="s">
        <v>35</v>
      </c>
      <c r="E1035" t="s">
        <v>505</v>
      </c>
      <c r="O1035" t="s">
        <v>511</v>
      </c>
      <c r="Q1035" t="s">
        <v>2728</v>
      </c>
      <c r="R1035" t="s">
        <v>1680</v>
      </c>
      <c r="S1035" t="s">
        <v>1658</v>
      </c>
      <c r="T1035" t="s">
        <v>487</v>
      </c>
    </row>
    <row r="1036" spans="1:20" x14ac:dyDescent="0.2">
      <c r="A1036" t="s">
        <v>2725</v>
      </c>
      <c r="B1036" t="s">
        <v>2726</v>
      </c>
      <c r="C1036" t="s">
        <v>2727</v>
      </c>
      <c r="D1036" t="s">
        <v>35</v>
      </c>
      <c r="E1036" t="s">
        <v>255</v>
      </c>
      <c r="O1036" t="s">
        <v>511</v>
      </c>
      <c r="R1036" t="s">
        <v>1680</v>
      </c>
      <c r="S1036" t="s">
        <v>1658</v>
      </c>
      <c r="T1036" t="s">
        <v>487</v>
      </c>
    </row>
    <row r="1037" spans="1:20" x14ac:dyDescent="0.2">
      <c r="A1037" t="s">
        <v>2729</v>
      </c>
      <c r="B1037" t="s">
        <v>2730</v>
      </c>
      <c r="C1037" t="s">
        <v>2731</v>
      </c>
      <c r="D1037" t="s">
        <v>24</v>
      </c>
      <c r="E1037" t="s">
        <v>133</v>
      </c>
      <c r="O1037" t="s">
        <v>150</v>
      </c>
      <c r="R1037" t="s">
        <v>1680</v>
      </c>
      <c r="S1037" t="s">
        <v>1658</v>
      </c>
      <c r="T1037" t="s">
        <v>487</v>
      </c>
    </row>
    <row r="1038" spans="1:20" x14ac:dyDescent="0.2">
      <c r="A1038" t="s">
        <v>2732</v>
      </c>
      <c r="B1038" t="s">
        <v>2733</v>
      </c>
      <c r="C1038" t="s">
        <v>2734</v>
      </c>
      <c r="D1038" t="s">
        <v>14</v>
      </c>
      <c r="E1038" t="s">
        <v>133</v>
      </c>
      <c r="F1038" t="s">
        <v>133</v>
      </c>
      <c r="G1038" t="s">
        <v>133</v>
      </c>
      <c r="H1038" t="s">
        <v>133</v>
      </c>
      <c r="I1038" t="s">
        <v>133</v>
      </c>
      <c r="K1038" t="s">
        <v>2735</v>
      </c>
      <c r="O1038" t="s">
        <v>150</v>
      </c>
    </row>
    <row r="1039" spans="1:20" x14ac:dyDescent="0.2">
      <c r="A1039" t="s">
        <v>2736</v>
      </c>
      <c r="B1039" t="s">
        <v>2737</v>
      </c>
      <c r="C1039" t="s">
        <v>2738</v>
      </c>
      <c r="D1039" t="s">
        <v>14</v>
      </c>
      <c r="E1039" t="s">
        <v>133</v>
      </c>
      <c r="K1039" t="s">
        <v>2739</v>
      </c>
      <c r="O1039" t="s">
        <v>150</v>
      </c>
    </row>
    <row r="1040" spans="1:20" x14ac:dyDescent="0.2">
      <c r="A1040" t="s">
        <v>2740</v>
      </c>
      <c r="B1040" t="s">
        <v>2741</v>
      </c>
      <c r="C1040" t="s">
        <v>2742</v>
      </c>
      <c r="D1040" t="s">
        <v>14</v>
      </c>
      <c r="E1040" t="s">
        <v>133</v>
      </c>
      <c r="K1040" t="s">
        <v>2743</v>
      </c>
      <c r="O1040" t="s">
        <v>511</v>
      </c>
      <c r="Q1040" t="s">
        <v>2743</v>
      </c>
    </row>
    <row r="1041" spans="1:20" x14ac:dyDescent="0.2">
      <c r="A1041" t="s">
        <v>2744</v>
      </c>
      <c r="B1041" t="s">
        <v>2745</v>
      </c>
      <c r="C1041" t="s">
        <v>2746</v>
      </c>
      <c r="D1041" t="s">
        <v>24</v>
      </c>
      <c r="E1041" t="s">
        <v>133</v>
      </c>
      <c r="O1041" t="s">
        <v>150</v>
      </c>
      <c r="R1041" t="s">
        <v>1680</v>
      </c>
      <c r="S1041" t="s">
        <v>1658</v>
      </c>
      <c r="T1041" t="s">
        <v>487</v>
      </c>
    </row>
    <row r="1042" spans="1:20" x14ac:dyDescent="0.2">
      <c r="A1042" t="s">
        <v>2747</v>
      </c>
      <c r="B1042" t="s">
        <v>2748</v>
      </c>
      <c r="C1042" t="s">
        <v>2749</v>
      </c>
      <c r="D1042" t="s">
        <v>14</v>
      </c>
      <c r="E1042" t="s">
        <v>133</v>
      </c>
      <c r="F1042" t="s">
        <v>133</v>
      </c>
      <c r="G1042" t="s">
        <v>133</v>
      </c>
      <c r="H1042" t="s">
        <v>133</v>
      </c>
      <c r="I1042" t="s">
        <v>133</v>
      </c>
      <c r="K1042" t="s">
        <v>2750</v>
      </c>
      <c r="O1042" t="s">
        <v>150</v>
      </c>
    </row>
    <row r="1043" spans="1:20" x14ac:dyDescent="0.2">
      <c r="A1043" t="s">
        <v>2751</v>
      </c>
      <c r="B1043" t="s">
        <v>2752</v>
      </c>
      <c r="C1043" t="s">
        <v>2753</v>
      </c>
      <c r="D1043" t="s">
        <v>14</v>
      </c>
      <c r="E1043" t="s">
        <v>133</v>
      </c>
      <c r="F1043" t="s">
        <v>133</v>
      </c>
      <c r="G1043" t="s">
        <v>133</v>
      </c>
      <c r="H1043" t="s">
        <v>133</v>
      </c>
      <c r="I1043" t="s">
        <v>133</v>
      </c>
      <c r="K1043" t="s">
        <v>2754</v>
      </c>
      <c r="O1043" t="s">
        <v>150</v>
      </c>
    </row>
    <row r="1044" spans="1:20" x14ac:dyDescent="0.2">
      <c r="A1044" t="s">
        <v>2755</v>
      </c>
      <c r="B1044" t="s">
        <v>2756</v>
      </c>
      <c r="C1044" t="s">
        <v>2757</v>
      </c>
      <c r="D1044" t="s">
        <v>24</v>
      </c>
      <c r="E1044" t="s">
        <v>133</v>
      </c>
      <c r="O1044" t="s">
        <v>150</v>
      </c>
      <c r="Q1044" t="s">
        <v>2758</v>
      </c>
      <c r="R1044" t="s">
        <v>1680</v>
      </c>
      <c r="S1044" t="s">
        <v>1658</v>
      </c>
      <c r="T1044" t="s">
        <v>487</v>
      </c>
    </row>
    <row r="1045" spans="1:20" x14ac:dyDescent="0.2">
      <c r="A1045" t="s">
        <v>2759</v>
      </c>
      <c r="B1045" t="s">
        <v>2760</v>
      </c>
      <c r="C1045" t="s">
        <v>2761</v>
      </c>
      <c r="D1045" t="s">
        <v>14</v>
      </c>
      <c r="E1045" t="s">
        <v>133</v>
      </c>
      <c r="K1045" t="s">
        <v>2762</v>
      </c>
      <c r="L1045" t="s">
        <v>160</v>
      </c>
      <c r="O1045" t="s">
        <v>150</v>
      </c>
      <c r="Q1045" t="s">
        <v>2763</v>
      </c>
    </row>
    <row r="1046" spans="1:20" x14ac:dyDescent="0.2">
      <c r="A1046" t="s">
        <v>2764</v>
      </c>
      <c r="B1046" t="s">
        <v>2765</v>
      </c>
      <c r="C1046" t="s">
        <v>2766</v>
      </c>
      <c r="D1046" t="s">
        <v>14</v>
      </c>
      <c r="E1046" t="s">
        <v>133</v>
      </c>
      <c r="F1046" t="s">
        <v>2767</v>
      </c>
      <c r="G1046" t="s">
        <v>2768</v>
      </c>
      <c r="H1046" t="s">
        <v>133</v>
      </c>
      <c r="I1046" t="s">
        <v>133</v>
      </c>
      <c r="K1046" t="s">
        <v>2769</v>
      </c>
      <c r="O1046" t="s">
        <v>150</v>
      </c>
    </row>
    <row r="1047" spans="1:20" x14ac:dyDescent="0.2">
      <c r="A1047" t="s">
        <v>2770</v>
      </c>
      <c r="B1047" t="s">
        <v>2771</v>
      </c>
      <c r="C1047" t="s">
        <v>2772</v>
      </c>
      <c r="D1047" t="s">
        <v>14</v>
      </c>
      <c r="E1047" t="s">
        <v>133</v>
      </c>
      <c r="F1047" t="s">
        <v>2767</v>
      </c>
      <c r="G1047" t="s">
        <v>2768</v>
      </c>
      <c r="H1047" t="s">
        <v>133</v>
      </c>
      <c r="I1047" t="s">
        <v>133</v>
      </c>
      <c r="K1047" t="s">
        <v>2773</v>
      </c>
      <c r="O1047" t="s">
        <v>150</v>
      </c>
    </row>
    <row r="1048" spans="1:20" x14ac:dyDescent="0.2">
      <c r="A1048" t="s">
        <v>2774</v>
      </c>
      <c r="B1048" t="s">
        <v>2775</v>
      </c>
      <c r="C1048" t="s">
        <v>2776</v>
      </c>
      <c r="D1048" t="s">
        <v>24</v>
      </c>
      <c r="E1048" t="s">
        <v>133</v>
      </c>
      <c r="O1048" t="s">
        <v>150</v>
      </c>
      <c r="R1048" t="s">
        <v>1680</v>
      </c>
      <c r="S1048" t="s">
        <v>1658</v>
      </c>
      <c r="T1048" t="s">
        <v>487</v>
      </c>
    </row>
    <row r="1049" spans="1:20" x14ac:dyDescent="0.2">
      <c r="A1049" t="s">
        <v>2777</v>
      </c>
      <c r="B1049" t="s">
        <v>2778</v>
      </c>
      <c r="C1049" t="s">
        <v>2779</v>
      </c>
      <c r="D1049" t="s">
        <v>14</v>
      </c>
      <c r="E1049" t="s">
        <v>133</v>
      </c>
      <c r="F1049" t="s">
        <v>133</v>
      </c>
      <c r="G1049" t="s">
        <v>133</v>
      </c>
      <c r="H1049" t="s">
        <v>133</v>
      </c>
      <c r="I1049" t="s">
        <v>133</v>
      </c>
      <c r="K1049" t="s">
        <v>2780</v>
      </c>
      <c r="O1049" t="s">
        <v>161</v>
      </c>
    </row>
    <row r="1050" spans="1:20" x14ac:dyDescent="0.2">
      <c r="A1050" t="s">
        <v>2781</v>
      </c>
      <c r="B1050" t="s">
        <v>2782</v>
      </c>
      <c r="C1050" t="s">
        <v>2783</v>
      </c>
      <c r="D1050" t="s">
        <v>14</v>
      </c>
      <c r="E1050" t="s">
        <v>133</v>
      </c>
      <c r="F1050" t="s">
        <v>133</v>
      </c>
      <c r="G1050" t="s">
        <v>133</v>
      </c>
      <c r="H1050" t="s">
        <v>133</v>
      </c>
      <c r="I1050" t="s">
        <v>133</v>
      </c>
      <c r="K1050" t="s">
        <v>2784</v>
      </c>
      <c r="O1050" t="s">
        <v>150</v>
      </c>
    </row>
    <row r="1051" spans="1:20" x14ac:dyDescent="0.2">
      <c r="A1051" t="s">
        <v>2785</v>
      </c>
      <c r="B1051" t="s">
        <v>2786</v>
      </c>
      <c r="C1051" t="s">
        <v>2787</v>
      </c>
      <c r="D1051" t="s">
        <v>24</v>
      </c>
      <c r="E1051" t="s">
        <v>133</v>
      </c>
      <c r="O1051" t="s">
        <v>511</v>
      </c>
      <c r="Q1051" t="s">
        <v>2788</v>
      </c>
      <c r="R1051" t="s">
        <v>1680</v>
      </c>
      <c r="S1051" t="s">
        <v>1658</v>
      </c>
      <c r="T1051" t="s">
        <v>487</v>
      </c>
    </row>
    <row r="1052" spans="1:20" x14ac:dyDescent="0.2">
      <c r="A1052" t="s">
        <v>2789</v>
      </c>
      <c r="B1052" t="s">
        <v>2790</v>
      </c>
      <c r="C1052" t="s">
        <v>2791</v>
      </c>
      <c r="D1052" t="s">
        <v>24</v>
      </c>
      <c r="E1052" t="s">
        <v>133</v>
      </c>
      <c r="O1052" t="s">
        <v>161</v>
      </c>
      <c r="Q1052" t="s">
        <v>2792</v>
      </c>
      <c r="R1052" t="s">
        <v>1680</v>
      </c>
      <c r="S1052" t="s">
        <v>1658</v>
      </c>
      <c r="T1052" t="s">
        <v>487</v>
      </c>
    </row>
    <row r="1053" spans="1:20" x14ac:dyDescent="0.2">
      <c r="A1053" t="s">
        <v>2793</v>
      </c>
      <c r="B1053" t="s">
        <v>2794</v>
      </c>
      <c r="C1053" t="s">
        <v>2795</v>
      </c>
      <c r="D1053" t="s">
        <v>14</v>
      </c>
      <c r="E1053" t="s">
        <v>133</v>
      </c>
      <c r="F1053" t="s">
        <v>133</v>
      </c>
      <c r="G1053" t="s">
        <v>133</v>
      </c>
      <c r="H1053" t="s">
        <v>133</v>
      </c>
      <c r="I1053" t="s">
        <v>133</v>
      </c>
      <c r="K1053" t="s">
        <v>2796</v>
      </c>
      <c r="O1053" t="s">
        <v>161</v>
      </c>
    </row>
    <row r="1054" spans="1:20" x14ac:dyDescent="0.2">
      <c r="A1054" t="s">
        <v>2797</v>
      </c>
      <c r="B1054" t="s">
        <v>2798</v>
      </c>
      <c r="C1054" t="s">
        <v>2799</v>
      </c>
      <c r="D1054" t="s">
        <v>14</v>
      </c>
      <c r="E1054" t="s">
        <v>133</v>
      </c>
      <c r="F1054" t="s">
        <v>133</v>
      </c>
      <c r="G1054" t="s">
        <v>133</v>
      </c>
      <c r="H1054" t="s">
        <v>133</v>
      </c>
      <c r="I1054" t="s">
        <v>133</v>
      </c>
      <c r="K1054" t="s">
        <v>2800</v>
      </c>
      <c r="O1054" t="s">
        <v>161</v>
      </c>
    </row>
    <row r="1055" spans="1:20" x14ac:dyDescent="0.2">
      <c r="A1055" t="s">
        <v>2801</v>
      </c>
      <c r="B1055" t="s">
        <v>2802</v>
      </c>
      <c r="C1055" t="s">
        <v>2803</v>
      </c>
      <c r="D1055" t="s">
        <v>14</v>
      </c>
      <c r="E1055" t="s">
        <v>133</v>
      </c>
      <c r="K1055" t="s">
        <v>2804</v>
      </c>
      <c r="O1055" t="s">
        <v>161</v>
      </c>
      <c r="Q1055" t="s">
        <v>2805</v>
      </c>
    </row>
    <row r="1056" spans="1:20" x14ac:dyDescent="0.2">
      <c r="A1056" t="s">
        <v>2806</v>
      </c>
      <c r="B1056" t="s">
        <v>2807</v>
      </c>
      <c r="C1056" t="s">
        <v>2808</v>
      </c>
      <c r="D1056" t="s">
        <v>24</v>
      </c>
      <c r="E1056" t="s">
        <v>133</v>
      </c>
      <c r="O1056" t="s">
        <v>161</v>
      </c>
      <c r="Q1056" t="s">
        <v>2809</v>
      </c>
      <c r="R1056" t="s">
        <v>1680</v>
      </c>
      <c r="S1056" t="s">
        <v>1658</v>
      </c>
      <c r="T1056" t="s">
        <v>487</v>
      </c>
    </row>
    <row r="1057" spans="1:20" x14ac:dyDescent="0.2">
      <c r="A1057" t="s">
        <v>2810</v>
      </c>
      <c r="B1057" t="s">
        <v>2811</v>
      </c>
      <c r="C1057" t="s">
        <v>2812</v>
      </c>
      <c r="D1057" t="s">
        <v>14</v>
      </c>
      <c r="E1057" t="s">
        <v>133</v>
      </c>
      <c r="F1057" t="s">
        <v>133</v>
      </c>
      <c r="G1057" t="s">
        <v>133</v>
      </c>
      <c r="H1057" t="s">
        <v>133</v>
      </c>
      <c r="I1057" t="s">
        <v>133</v>
      </c>
      <c r="K1057" t="s">
        <v>2813</v>
      </c>
      <c r="L1057" t="s">
        <v>2814</v>
      </c>
      <c r="O1057" t="s">
        <v>150</v>
      </c>
    </row>
    <row r="1058" spans="1:20" x14ac:dyDescent="0.2">
      <c r="A1058" t="s">
        <v>2815</v>
      </c>
      <c r="B1058" t="s">
        <v>2816</v>
      </c>
      <c r="C1058" t="s">
        <v>2817</v>
      </c>
      <c r="D1058" t="s">
        <v>14</v>
      </c>
      <c r="E1058" t="s">
        <v>133</v>
      </c>
      <c r="F1058" t="s">
        <v>133</v>
      </c>
      <c r="G1058" t="s">
        <v>133</v>
      </c>
      <c r="H1058" t="s">
        <v>133</v>
      </c>
      <c r="I1058" t="s">
        <v>133</v>
      </c>
      <c r="K1058" t="s">
        <v>2818</v>
      </c>
      <c r="O1058" t="s">
        <v>150</v>
      </c>
    </row>
    <row r="1059" spans="1:20" x14ac:dyDescent="0.2">
      <c r="A1059" t="s">
        <v>2819</v>
      </c>
      <c r="B1059" t="s">
        <v>2820</v>
      </c>
      <c r="C1059" t="s">
        <v>2821</v>
      </c>
      <c r="D1059" t="s">
        <v>14</v>
      </c>
      <c r="E1059" t="s">
        <v>133</v>
      </c>
      <c r="K1059" t="s">
        <v>2822</v>
      </c>
      <c r="O1059" t="s">
        <v>150</v>
      </c>
    </row>
    <row r="1060" spans="1:20" x14ac:dyDescent="0.2">
      <c r="A1060" t="s">
        <v>2823</v>
      </c>
      <c r="B1060" t="s">
        <v>2824</v>
      </c>
      <c r="C1060" t="s">
        <v>2825</v>
      </c>
      <c r="D1060" t="s">
        <v>35</v>
      </c>
      <c r="E1060" t="s">
        <v>505</v>
      </c>
      <c r="O1060" t="s">
        <v>511</v>
      </c>
      <c r="Q1060" t="s">
        <v>2826</v>
      </c>
      <c r="R1060" t="s">
        <v>1680</v>
      </c>
      <c r="S1060" t="s">
        <v>1658</v>
      </c>
      <c r="T1060" t="s">
        <v>487</v>
      </c>
    </row>
    <row r="1061" spans="1:20" x14ac:dyDescent="0.2">
      <c r="A1061" t="s">
        <v>2823</v>
      </c>
      <c r="B1061" t="s">
        <v>2824</v>
      </c>
      <c r="C1061" t="s">
        <v>2825</v>
      </c>
      <c r="D1061" t="s">
        <v>35</v>
      </c>
      <c r="E1061" t="s">
        <v>255</v>
      </c>
      <c r="O1061" t="s">
        <v>511</v>
      </c>
      <c r="R1061" t="s">
        <v>1680</v>
      </c>
      <c r="S1061" t="s">
        <v>1658</v>
      </c>
      <c r="T1061" t="s">
        <v>487</v>
      </c>
    </row>
    <row r="1062" spans="1:20" x14ac:dyDescent="0.2">
      <c r="A1062" t="s">
        <v>2827</v>
      </c>
      <c r="B1062" t="s">
        <v>2828</v>
      </c>
      <c r="C1062" t="s">
        <v>2829</v>
      </c>
      <c r="D1062" t="s">
        <v>24</v>
      </c>
      <c r="E1062" t="s">
        <v>133</v>
      </c>
      <c r="O1062" t="s">
        <v>150</v>
      </c>
      <c r="R1062" t="s">
        <v>1680</v>
      </c>
      <c r="S1062" t="s">
        <v>1658</v>
      </c>
      <c r="T1062" t="s">
        <v>487</v>
      </c>
    </row>
    <row r="1063" spans="1:20" x14ac:dyDescent="0.2">
      <c r="A1063" t="s">
        <v>2830</v>
      </c>
      <c r="B1063" t="s">
        <v>2831</v>
      </c>
      <c r="C1063" t="s">
        <v>2832</v>
      </c>
      <c r="D1063" t="s">
        <v>14</v>
      </c>
      <c r="E1063" t="s">
        <v>133</v>
      </c>
      <c r="F1063" t="s">
        <v>133</v>
      </c>
      <c r="G1063" t="s">
        <v>133</v>
      </c>
      <c r="H1063" t="s">
        <v>133</v>
      </c>
      <c r="I1063" t="s">
        <v>133</v>
      </c>
      <c r="K1063" t="s">
        <v>2833</v>
      </c>
      <c r="O1063" t="s">
        <v>150</v>
      </c>
    </row>
    <row r="1064" spans="1:20" x14ac:dyDescent="0.2">
      <c r="A1064" t="s">
        <v>2834</v>
      </c>
      <c r="B1064" t="s">
        <v>2835</v>
      </c>
      <c r="C1064" t="s">
        <v>2836</v>
      </c>
      <c r="D1064" t="s">
        <v>14</v>
      </c>
      <c r="E1064" t="s">
        <v>133</v>
      </c>
      <c r="K1064" t="s">
        <v>2837</v>
      </c>
      <c r="O1064" t="s">
        <v>150</v>
      </c>
    </row>
    <row r="1065" spans="1:20" x14ac:dyDescent="0.2">
      <c r="A1065" t="s">
        <v>2838</v>
      </c>
      <c r="B1065" t="s">
        <v>2839</v>
      </c>
      <c r="C1065" t="s">
        <v>2840</v>
      </c>
      <c r="D1065" t="s">
        <v>14</v>
      </c>
      <c r="E1065" t="s">
        <v>133</v>
      </c>
      <c r="K1065" t="s">
        <v>2841</v>
      </c>
      <c r="O1065" t="s">
        <v>511</v>
      </c>
      <c r="Q1065" t="s">
        <v>2841</v>
      </c>
    </row>
    <row r="1066" spans="1:20" x14ac:dyDescent="0.2">
      <c r="A1066" t="s">
        <v>2842</v>
      </c>
      <c r="B1066" t="s">
        <v>2843</v>
      </c>
      <c r="C1066" t="s">
        <v>2844</v>
      </c>
      <c r="D1066" t="s">
        <v>24</v>
      </c>
      <c r="E1066" t="s">
        <v>133</v>
      </c>
      <c r="O1066" t="s">
        <v>150</v>
      </c>
      <c r="R1066" t="s">
        <v>1680</v>
      </c>
      <c r="S1066" t="s">
        <v>1658</v>
      </c>
      <c r="T1066" t="s">
        <v>487</v>
      </c>
    </row>
    <row r="1067" spans="1:20" x14ac:dyDescent="0.2">
      <c r="A1067" t="s">
        <v>2845</v>
      </c>
      <c r="B1067" t="s">
        <v>2846</v>
      </c>
      <c r="C1067" t="s">
        <v>2847</v>
      </c>
      <c r="D1067" t="s">
        <v>14</v>
      </c>
      <c r="E1067" t="s">
        <v>133</v>
      </c>
      <c r="F1067" t="s">
        <v>133</v>
      </c>
      <c r="G1067" t="s">
        <v>133</v>
      </c>
      <c r="H1067" t="s">
        <v>133</v>
      </c>
      <c r="I1067" t="s">
        <v>133</v>
      </c>
      <c r="K1067" t="s">
        <v>2848</v>
      </c>
      <c r="O1067" t="s">
        <v>150</v>
      </c>
    </row>
    <row r="1068" spans="1:20" x14ac:dyDescent="0.2">
      <c r="A1068" t="s">
        <v>2849</v>
      </c>
      <c r="B1068" t="s">
        <v>2850</v>
      </c>
      <c r="C1068" t="s">
        <v>2851</v>
      </c>
      <c r="D1068" t="s">
        <v>24</v>
      </c>
      <c r="E1068" t="s">
        <v>133</v>
      </c>
      <c r="O1068" t="s">
        <v>150</v>
      </c>
      <c r="Q1068" t="s">
        <v>2852</v>
      </c>
      <c r="R1068" t="s">
        <v>1680</v>
      </c>
      <c r="S1068" t="s">
        <v>1658</v>
      </c>
      <c r="T1068" t="s">
        <v>487</v>
      </c>
    </row>
    <row r="1069" spans="1:20" x14ac:dyDescent="0.2">
      <c r="A1069" t="s">
        <v>2853</v>
      </c>
      <c r="B1069" t="s">
        <v>2854</v>
      </c>
      <c r="C1069" t="s">
        <v>2855</v>
      </c>
      <c r="D1069" t="s">
        <v>35</v>
      </c>
      <c r="E1069" t="s">
        <v>505</v>
      </c>
      <c r="F1069" t="s">
        <v>133</v>
      </c>
      <c r="G1069" t="s">
        <v>133</v>
      </c>
      <c r="H1069" t="s">
        <v>133</v>
      </c>
      <c r="I1069" t="s">
        <v>133</v>
      </c>
      <c r="O1069" t="s">
        <v>511</v>
      </c>
      <c r="R1069" t="s">
        <v>1680</v>
      </c>
      <c r="S1069" t="s">
        <v>1658</v>
      </c>
      <c r="T1069" t="s">
        <v>487</v>
      </c>
    </row>
    <row r="1070" spans="1:20" x14ac:dyDescent="0.2">
      <c r="A1070" t="s">
        <v>2853</v>
      </c>
      <c r="B1070" t="s">
        <v>2854</v>
      </c>
      <c r="C1070" t="s">
        <v>2855</v>
      </c>
      <c r="D1070" t="s">
        <v>61</v>
      </c>
      <c r="E1070" t="s">
        <v>255</v>
      </c>
      <c r="F1070" t="s">
        <v>133</v>
      </c>
      <c r="G1070" t="s">
        <v>133</v>
      </c>
      <c r="H1070" t="s">
        <v>133</v>
      </c>
      <c r="I1070" t="s">
        <v>133</v>
      </c>
      <c r="K1070" t="s">
        <v>2856</v>
      </c>
      <c r="O1070" t="s">
        <v>511</v>
      </c>
    </row>
    <row r="1071" spans="1:20" x14ac:dyDescent="0.2">
      <c r="A1071" t="s">
        <v>2857</v>
      </c>
      <c r="B1071" t="s">
        <v>2858</v>
      </c>
      <c r="C1071" t="s">
        <v>2859</v>
      </c>
      <c r="D1071" t="s">
        <v>14</v>
      </c>
      <c r="E1071" t="s">
        <v>133</v>
      </c>
      <c r="K1071" t="s">
        <v>2860</v>
      </c>
      <c r="L1071" t="s">
        <v>160</v>
      </c>
      <c r="O1071" t="s">
        <v>150</v>
      </c>
    </row>
    <row r="1072" spans="1:20" x14ac:dyDescent="0.2">
      <c r="A1072" t="s">
        <v>2861</v>
      </c>
      <c r="B1072" t="s">
        <v>2862</v>
      </c>
      <c r="C1072" t="s">
        <v>2863</v>
      </c>
      <c r="D1072" t="s">
        <v>14</v>
      </c>
      <c r="E1072" t="s">
        <v>133</v>
      </c>
      <c r="F1072" t="s">
        <v>133</v>
      </c>
      <c r="G1072" t="s">
        <v>133</v>
      </c>
      <c r="H1072" t="s">
        <v>2864</v>
      </c>
      <c r="I1072" t="s">
        <v>133</v>
      </c>
      <c r="K1072" t="s">
        <v>2769</v>
      </c>
      <c r="O1072" t="s">
        <v>150</v>
      </c>
    </row>
    <row r="1073" spans="1:20" x14ac:dyDescent="0.2">
      <c r="A1073" t="s">
        <v>2865</v>
      </c>
      <c r="B1073" t="s">
        <v>2866</v>
      </c>
      <c r="C1073" t="s">
        <v>2867</v>
      </c>
      <c r="D1073" t="s">
        <v>14</v>
      </c>
      <c r="E1073" t="s">
        <v>133</v>
      </c>
      <c r="K1073" t="s">
        <v>2868</v>
      </c>
      <c r="L1073" t="s">
        <v>160</v>
      </c>
      <c r="O1073" t="s">
        <v>150</v>
      </c>
    </row>
    <row r="1074" spans="1:20" x14ac:dyDescent="0.2">
      <c r="A1074" t="s">
        <v>2869</v>
      </c>
      <c r="B1074" t="s">
        <v>2870</v>
      </c>
      <c r="C1074" t="s">
        <v>2871</v>
      </c>
      <c r="D1074" t="s">
        <v>24</v>
      </c>
      <c r="E1074" t="s">
        <v>133</v>
      </c>
      <c r="O1074" t="s">
        <v>150</v>
      </c>
      <c r="R1074" t="s">
        <v>1680</v>
      </c>
      <c r="S1074" t="s">
        <v>1658</v>
      </c>
      <c r="T1074" t="s">
        <v>487</v>
      </c>
    </row>
    <row r="1075" spans="1:20" x14ac:dyDescent="0.2">
      <c r="A1075" t="s">
        <v>2872</v>
      </c>
      <c r="B1075" t="s">
        <v>2873</v>
      </c>
      <c r="C1075" t="s">
        <v>2874</v>
      </c>
      <c r="D1075" t="s">
        <v>14</v>
      </c>
      <c r="E1075" t="s">
        <v>133</v>
      </c>
      <c r="F1075" t="s">
        <v>133</v>
      </c>
      <c r="G1075" t="s">
        <v>133</v>
      </c>
      <c r="H1075" t="s">
        <v>133</v>
      </c>
      <c r="I1075" t="s">
        <v>133</v>
      </c>
      <c r="K1075" t="s">
        <v>2875</v>
      </c>
      <c r="O1075" t="s">
        <v>161</v>
      </c>
    </row>
    <row r="1076" spans="1:20" x14ac:dyDescent="0.2">
      <c r="A1076" t="s">
        <v>2876</v>
      </c>
      <c r="B1076" t="s">
        <v>2877</v>
      </c>
      <c r="C1076" t="s">
        <v>2878</v>
      </c>
      <c r="D1076" t="s">
        <v>14</v>
      </c>
      <c r="E1076" t="s">
        <v>133</v>
      </c>
      <c r="F1076" t="s">
        <v>133</v>
      </c>
      <c r="G1076" t="s">
        <v>133</v>
      </c>
      <c r="H1076" t="s">
        <v>133</v>
      </c>
      <c r="I1076" t="s">
        <v>133</v>
      </c>
      <c r="K1076" t="s">
        <v>2879</v>
      </c>
      <c r="O1076" t="s">
        <v>150</v>
      </c>
    </row>
    <row r="1077" spans="1:20" x14ac:dyDescent="0.2">
      <c r="A1077" t="s">
        <v>2880</v>
      </c>
      <c r="B1077" t="s">
        <v>2881</v>
      </c>
      <c r="C1077" t="s">
        <v>2882</v>
      </c>
      <c r="D1077" t="s">
        <v>24</v>
      </c>
      <c r="E1077" t="s">
        <v>133</v>
      </c>
      <c r="O1077" t="s">
        <v>511</v>
      </c>
      <c r="Q1077" t="s">
        <v>2883</v>
      </c>
      <c r="R1077" t="s">
        <v>1680</v>
      </c>
      <c r="S1077" t="s">
        <v>1658</v>
      </c>
      <c r="T1077" t="s">
        <v>487</v>
      </c>
    </row>
    <row r="1078" spans="1:20" x14ac:dyDescent="0.2">
      <c r="A1078" t="s">
        <v>2884</v>
      </c>
      <c r="B1078" t="s">
        <v>2885</v>
      </c>
      <c r="C1078" t="s">
        <v>2886</v>
      </c>
      <c r="D1078" t="s">
        <v>24</v>
      </c>
      <c r="E1078" t="s">
        <v>133</v>
      </c>
      <c r="O1078" t="s">
        <v>161</v>
      </c>
      <c r="Q1078" t="s">
        <v>2887</v>
      </c>
      <c r="R1078" t="s">
        <v>1680</v>
      </c>
      <c r="S1078" t="s">
        <v>1658</v>
      </c>
      <c r="T1078" t="s">
        <v>487</v>
      </c>
    </row>
    <row r="1079" spans="1:20" x14ac:dyDescent="0.2">
      <c r="A1079" t="s">
        <v>2888</v>
      </c>
      <c r="B1079" t="s">
        <v>2889</v>
      </c>
      <c r="C1079" t="s">
        <v>2890</v>
      </c>
      <c r="D1079" t="s">
        <v>14</v>
      </c>
      <c r="E1079" t="s">
        <v>133</v>
      </c>
      <c r="F1079" t="s">
        <v>133</v>
      </c>
      <c r="G1079" t="s">
        <v>133</v>
      </c>
      <c r="H1079" t="s">
        <v>133</v>
      </c>
      <c r="I1079" t="s">
        <v>133</v>
      </c>
      <c r="K1079" t="s">
        <v>2891</v>
      </c>
      <c r="O1079" t="s">
        <v>161</v>
      </c>
    </row>
    <row r="1080" spans="1:20" x14ac:dyDescent="0.2">
      <c r="A1080" t="s">
        <v>2892</v>
      </c>
      <c r="B1080" t="s">
        <v>2893</v>
      </c>
      <c r="C1080" t="s">
        <v>2894</v>
      </c>
      <c r="D1080" t="s">
        <v>14</v>
      </c>
      <c r="E1080" t="s">
        <v>133</v>
      </c>
      <c r="F1080" t="s">
        <v>133</v>
      </c>
      <c r="G1080" t="s">
        <v>133</v>
      </c>
      <c r="H1080" t="s">
        <v>133</v>
      </c>
      <c r="I1080" t="s">
        <v>133</v>
      </c>
      <c r="K1080" t="s">
        <v>2895</v>
      </c>
      <c r="O1080" t="s">
        <v>161</v>
      </c>
    </row>
    <row r="1081" spans="1:20" x14ac:dyDescent="0.2">
      <c r="A1081" t="s">
        <v>2896</v>
      </c>
      <c r="B1081" t="s">
        <v>2897</v>
      </c>
      <c r="C1081" t="s">
        <v>2898</v>
      </c>
      <c r="D1081" t="s">
        <v>14</v>
      </c>
      <c r="E1081" t="s">
        <v>133</v>
      </c>
      <c r="K1081" t="s">
        <v>2899</v>
      </c>
      <c r="O1081" t="s">
        <v>161</v>
      </c>
      <c r="Q1081" t="s">
        <v>2900</v>
      </c>
    </row>
    <row r="1082" spans="1:20" x14ac:dyDescent="0.2">
      <c r="A1082" t="s">
        <v>2901</v>
      </c>
      <c r="B1082" t="s">
        <v>2902</v>
      </c>
      <c r="C1082" t="s">
        <v>2903</v>
      </c>
      <c r="D1082" t="s">
        <v>24</v>
      </c>
      <c r="E1082" t="s">
        <v>133</v>
      </c>
      <c r="O1082" t="s">
        <v>161</v>
      </c>
      <c r="Q1082" t="s">
        <v>2904</v>
      </c>
      <c r="R1082" t="s">
        <v>1680</v>
      </c>
      <c r="S1082" t="s">
        <v>1658</v>
      </c>
      <c r="T1082" t="s">
        <v>487</v>
      </c>
    </row>
    <row r="1083" spans="1:20" x14ac:dyDescent="0.2">
      <c r="A1083" t="s">
        <v>2905</v>
      </c>
      <c r="B1083" t="s">
        <v>2906</v>
      </c>
      <c r="C1083" t="s">
        <v>2907</v>
      </c>
      <c r="D1083" t="s">
        <v>14</v>
      </c>
      <c r="E1083" t="s">
        <v>133</v>
      </c>
      <c r="F1083" t="s">
        <v>133</v>
      </c>
      <c r="G1083" t="s">
        <v>133</v>
      </c>
      <c r="H1083" t="s">
        <v>133</v>
      </c>
      <c r="I1083" t="s">
        <v>133</v>
      </c>
      <c r="K1083" t="s">
        <v>2908</v>
      </c>
      <c r="L1083" t="s">
        <v>2814</v>
      </c>
      <c r="O1083" t="s">
        <v>150</v>
      </c>
    </row>
    <row r="1084" spans="1:20" x14ac:dyDescent="0.2">
      <c r="A1084" t="s">
        <v>2909</v>
      </c>
      <c r="B1084" t="s">
        <v>2910</v>
      </c>
      <c r="C1084" t="s">
        <v>2911</v>
      </c>
      <c r="D1084" t="s">
        <v>14</v>
      </c>
      <c r="E1084" t="s">
        <v>133</v>
      </c>
      <c r="F1084" t="s">
        <v>133</v>
      </c>
      <c r="G1084" t="s">
        <v>133</v>
      </c>
      <c r="H1084" t="s">
        <v>133</v>
      </c>
      <c r="I1084" t="s">
        <v>133</v>
      </c>
      <c r="K1084" t="s">
        <v>2912</v>
      </c>
      <c r="O1084" t="s">
        <v>150</v>
      </c>
    </row>
    <row r="1085" spans="1:20" x14ac:dyDescent="0.2">
      <c r="A1085" t="s">
        <v>2913</v>
      </c>
      <c r="B1085" t="s">
        <v>2914</v>
      </c>
      <c r="C1085" t="s">
        <v>2915</v>
      </c>
      <c r="D1085" t="s">
        <v>35</v>
      </c>
      <c r="E1085" t="s">
        <v>505</v>
      </c>
      <c r="F1085" t="s">
        <v>133</v>
      </c>
      <c r="G1085" t="s">
        <v>133</v>
      </c>
      <c r="H1085" t="s">
        <v>133</v>
      </c>
      <c r="I1085" t="s">
        <v>133</v>
      </c>
      <c r="O1085" t="s">
        <v>511</v>
      </c>
      <c r="R1085" t="s">
        <v>1680</v>
      </c>
      <c r="S1085" t="s">
        <v>1658</v>
      </c>
      <c r="T1085" t="s">
        <v>487</v>
      </c>
    </row>
    <row r="1086" spans="1:20" x14ac:dyDescent="0.2">
      <c r="A1086" t="s">
        <v>2916</v>
      </c>
      <c r="B1086" t="s">
        <v>2917</v>
      </c>
      <c r="C1086" t="s">
        <v>2918</v>
      </c>
      <c r="D1086" t="s">
        <v>14</v>
      </c>
      <c r="E1086" t="s">
        <v>133</v>
      </c>
      <c r="K1086" t="s">
        <v>2919</v>
      </c>
      <c r="O1086" t="s">
        <v>150</v>
      </c>
    </row>
    <row r="1087" spans="1:20" x14ac:dyDescent="0.2">
      <c r="A1087" t="s">
        <v>2913</v>
      </c>
      <c r="B1087" t="s">
        <v>2914</v>
      </c>
      <c r="C1087" t="s">
        <v>2915</v>
      </c>
      <c r="D1087" t="s">
        <v>61</v>
      </c>
      <c r="E1087" t="s">
        <v>255</v>
      </c>
      <c r="F1087" t="s">
        <v>133</v>
      </c>
      <c r="G1087" t="s">
        <v>133</v>
      </c>
      <c r="H1087" t="s">
        <v>133</v>
      </c>
      <c r="I1087" t="s">
        <v>133</v>
      </c>
      <c r="K1087" t="s">
        <v>2920</v>
      </c>
      <c r="O1087" t="s">
        <v>511</v>
      </c>
    </row>
    <row r="1088" spans="1:20" x14ac:dyDescent="0.2">
      <c r="A1088" t="s">
        <v>2921</v>
      </c>
      <c r="B1088" t="s">
        <v>2922</v>
      </c>
      <c r="C1088" t="s">
        <v>2923</v>
      </c>
      <c r="D1088" t="s">
        <v>35</v>
      </c>
      <c r="E1088" t="s">
        <v>505</v>
      </c>
      <c r="O1088" t="s">
        <v>511</v>
      </c>
      <c r="Q1088" t="s">
        <v>2924</v>
      </c>
      <c r="R1088" t="s">
        <v>1680</v>
      </c>
      <c r="S1088" t="s">
        <v>1658</v>
      </c>
      <c r="T1088" t="s">
        <v>487</v>
      </c>
    </row>
    <row r="1089" spans="1:20" x14ac:dyDescent="0.2">
      <c r="A1089" t="s">
        <v>2921</v>
      </c>
      <c r="B1089" t="s">
        <v>2922</v>
      </c>
      <c r="C1089" t="s">
        <v>2923</v>
      </c>
      <c r="D1089" t="s">
        <v>35</v>
      </c>
      <c r="E1089" t="s">
        <v>255</v>
      </c>
      <c r="O1089" t="s">
        <v>511</v>
      </c>
      <c r="R1089" t="s">
        <v>1680</v>
      </c>
      <c r="S1089" t="s">
        <v>1658</v>
      </c>
      <c r="T1089" t="s">
        <v>487</v>
      </c>
    </row>
    <row r="1090" spans="1:20" x14ac:dyDescent="0.2">
      <c r="A1090" t="s">
        <v>2925</v>
      </c>
      <c r="B1090" t="s">
        <v>2926</v>
      </c>
      <c r="C1090" t="s">
        <v>2927</v>
      </c>
      <c r="D1090" t="s">
        <v>24</v>
      </c>
      <c r="E1090" t="s">
        <v>133</v>
      </c>
      <c r="O1090" t="s">
        <v>150</v>
      </c>
      <c r="R1090" t="s">
        <v>1680</v>
      </c>
      <c r="S1090" t="s">
        <v>1658</v>
      </c>
      <c r="T1090" t="s">
        <v>487</v>
      </c>
    </row>
    <row r="1091" spans="1:20" x14ac:dyDescent="0.2">
      <c r="A1091" t="s">
        <v>2928</v>
      </c>
      <c r="B1091" t="s">
        <v>2929</v>
      </c>
      <c r="C1091" t="s">
        <v>2930</v>
      </c>
      <c r="D1091" t="s">
        <v>14</v>
      </c>
      <c r="E1091" t="s">
        <v>133</v>
      </c>
      <c r="F1091" t="s">
        <v>133</v>
      </c>
      <c r="G1091" t="s">
        <v>133</v>
      </c>
      <c r="H1091" t="s">
        <v>133</v>
      </c>
      <c r="I1091" t="s">
        <v>133</v>
      </c>
      <c r="K1091" t="s">
        <v>2931</v>
      </c>
      <c r="O1091" t="s">
        <v>150</v>
      </c>
    </row>
    <row r="1092" spans="1:20" x14ac:dyDescent="0.2">
      <c r="A1092" t="s">
        <v>2932</v>
      </c>
      <c r="B1092" t="s">
        <v>2933</v>
      </c>
      <c r="C1092" t="s">
        <v>2934</v>
      </c>
      <c r="D1092" t="s">
        <v>14</v>
      </c>
      <c r="E1092" t="s">
        <v>133</v>
      </c>
      <c r="K1092" t="s">
        <v>2935</v>
      </c>
      <c r="O1092" t="s">
        <v>150</v>
      </c>
    </row>
    <row r="1093" spans="1:20" x14ac:dyDescent="0.2">
      <c r="A1093" t="s">
        <v>2936</v>
      </c>
      <c r="B1093" t="s">
        <v>2937</v>
      </c>
      <c r="C1093" t="s">
        <v>2938</v>
      </c>
      <c r="D1093" t="s">
        <v>14</v>
      </c>
      <c r="E1093" t="s">
        <v>133</v>
      </c>
      <c r="K1093" t="s">
        <v>2939</v>
      </c>
      <c r="O1093" t="s">
        <v>511</v>
      </c>
      <c r="Q1093" t="s">
        <v>2939</v>
      </c>
    </row>
    <row r="1094" spans="1:20" x14ac:dyDescent="0.2">
      <c r="A1094" t="s">
        <v>2940</v>
      </c>
      <c r="B1094" t="s">
        <v>2941</v>
      </c>
      <c r="C1094" t="s">
        <v>2942</v>
      </c>
      <c r="D1094" t="s">
        <v>24</v>
      </c>
      <c r="E1094" t="s">
        <v>133</v>
      </c>
      <c r="O1094" t="s">
        <v>150</v>
      </c>
      <c r="R1094" t="s">
        <v>1680</v>
      </c>
      <c r="S1094" t="s">
        <v>1658</v>
      </c>
      <c r="T1094" t="s">
        <v>487</v>
      </c>
    </row>
    <row r="1095" spans="1:20" x14ac:dyDescent="0.2">
      <c r="A1095" t="s">
        <v>2943</v>
      </c>
      <c r="B1095" t="s">
        <v>2944</v>
      </c>
      <c r="C1095" t="s">
        <v>2945</v>
      </c>
      <c r="D1095" t="s">
        <v>14</v>
      </c>
      <c r="E1095" t="s">
        <v>133</v>
      </c>
      <c r="F1095" t="s">
        <v>133</v>
      </c>
      <c r="G1095" t="s">
        <v>133</v>
      </c>
      <c r="H1095" t="s">
        <v>133</v>
      </c>
      <c r="I1095" t="s">
        <v>133</v>
      </c>
      <c r="K1095" t="s">
        <v>2946</v>
      </c>
      <c r="O1095" t="s">
        <v>150</v>
      </c>
    </row>
    <row r="1096" spans="1:20" x14ac:dyDescent="0.2">
      <c r="A1096" t="s">
        <v>2947</v>
      </c>
      <c r="B1096" t="s">
        <v>2948</v>
      </c>
      <c r="C1096" t="s">
        <v>2949</v>
      </c>
      <c r="D1096" t="s">
        <v>14</v>
      </c>
      <c r="E1096" t="s">
        <v>133</v>
      </c>
      <c r="F1096" t="s">
        <v>133</v>
      </c>
      <c r="G1096" t="s">
        <v>133</v>
      </c>
      <c r="H1096" t="s">
        <v>133</v>
      </c>
      <c r="I1096" t="s">
        <v>133</v>
      </c>
      <c r="K1096" t="s">
        <v>2950</v>
      </c>
      <c r="O1096" t="s">
        <v>150</v>
      </c>
    </row>
    <row r="1097" spans="1:20" x14ac:dyDescent="0.2">
      <c r="A1097" t="s">
        <v>2951</v>
      </c>
      <c r="B1097" t="s">
        <v>2952</v>
      </c>
      <c r="C1097" t="s">
        <v>2953</v>
      </c>
      <c r="D1097" t="s">
        <v>24</v>
      </c>
      <c r="E1097" t="s">
        <v>133</v>
      </c>
      <c r="O1097" t="s">
        <v>150</v>
      </c>
      <c r="Q1097" t="s">
        <v>2954</v>
      </c>
      <c r="R1097" t="s">
        <v>1680</v>
      </c>
      <c r="S1097" t="s">
        <v>1658</v>
      </c>
      <c r="T1097" t="s">
        <v>487</v>
      </c>
    </row>
    <row r="1098" spans="1:20" x14ac:dyDescent="0.2">
      <c r="A1098" t="s">
        <v>2955</v>
      </c>
      <c r="B1098" t="s">
        <v>2956</v>
      </c>
      <c r="C1098" t="s">
        <v>2957</v>
      </c>
      <c r="D1098" t="s">
        <v>14</v>
      </c>
      <c r="E1098" t="s">
        <v>133</v>
      </c>
      <c r="K1098" t="s">
        <v>2958</v>
      </c>
      <c r="L1098" t="s">
        <v>160</v>
      </c>
      <c r="O1098" t="s">
        <v>150</v>
      </c>
    </row>
    <row r="1099" spans="1:20" x14ac:dyDescent="0.2">
      <c r="A1099" t="s">
        <v>2959</v>
      </c>
      <c r="B1099" t="s">
        <v>2960</v>
      </c>
      <c r="C1099" t="s">
        <v>2961</v>
      </c>
      <c r="D1099" t="s">
        <v>14</v>
      </c>
      <c r="E1099" t="s">
        <v>133</v>
      </c>
      <c r="F1099" t="s">
        <v>614</v>
      </c>
      <c r="G1099" t="s">
        <v>2962</v>
      </c>
      <c r="H1099" t="s">
        <v>133</v>
      </c>
      <c r="I1099" t="s">
        <v>133</v>
      </c>
      <c r="K1099" t="s">
        <v>2769</v>
      </c>
      <c r="O1099" t="s">
        <v>150</v>
      </c>
    </row>
    <row r="1100" spans="1:20" x14ac:dyDescent="0.2">
      <c r="A1100" t="s">
        <v>2963</v>
      </c>
      <c r="B1100" t="s">
        <v>2964</v>
      </c>
      <c r="C1100" t="s">
        <v>2965</v>
      </c>
      <c r="D1100" t="s">
        <v>14</v>
      </c>
      <c r="E1100" t="s">
        <v>133</v>
      </c>
      <c r="F1100" t="s">
        <v>614</v>
      </c>
      <c r="G1100" t="s">
        <v>2962</v>
      </c>
      <c r="H1100" t="s">
        <v>133</v>
      </c>
      <c r="I1100" t="s">
        <v>133</v>
      </c>
      <c r="K1100" t="s">
        <v>2773</v>
      </c>
      <c r="O1100" t="s">
        <v>150</v>
      </c>
    </row>
    <row r="1101" spans="1:20" x14ac:dyDescent="0.2">
      <c r="A1101" t="s">
        <v>2966</v>
      </c>
      <c r="B1101" t="s">
        <v>2967</v>
      </c>
      <c r="C1101" t="s">
        <v>2968</v>
      </c>
      <c r="D1101" t="s">
        <v>24</v>
      </c>
      <c r="E1101" t="s">
        <v>133</v>
      </c>
      <c r="O1101" t="s">
        <v>150</v>
      </c>
      <c r="R1101" t="s">
        <v>1680</v>
      </c>
      <c r="S1101" t="s">
        <v>1658</v>
      </c>
      <c r="T1101" t="s">
        <v>487</v>
      </c>
    </row>
    <row r="1102" spans="1:20" x14ac:dyDescent="0.2">
      <c r="A1102" t="s">
        <v>2969</v>
      </c>
      <c r="B1102" t="s">
        <v>2970</v>
      </c>
      <c r="C1102" t="s">
        <v>2971</v>
      </c>
      <c r="D1102" t="s">
        <v>14</v>
      </c>
      <c r="E1102" t="s">
        <v>133</v>
      </c>
      <c r="F1102" t="s">
        <v>133</v>
      </c>
      <c r="G1102" t="s">
        <v>133</v>
      </c>
      <c r="H1102" t="s">
        <v>133</v>
      </c>
      <c r="I1102" t="s">
        <v>133</v>
      </c>
      <c r="K1102" t="s">
        <v>2972</v>
      </c>
      <c r="O1102" t="s">
        <v>161</v>
      </c>
    </row>
    <row r="1103" spans="1:20" x14ac:dyDescent="0.2">
      <c r="A1103" t="s">
        <v>2973</v>
      </c>
      <c r="B1103" t="s">
        <v>2974</v>
      </c>
      <c r="C1103" t="s">
        <v>2975</v>
      </c>
      <c r="D1103" t="s">
        <v>14</v>
      </c>
      <c r="E1103" t="s">
        <v>133</v>
      </c>
      <c r="F1103" t="s">
        <v>133</v>
      </c>
      <c r="G1103" t="s">
        <v>133</v>
      </c>
      <c r="H1103" t="s">
        <v>133</v>
      </c>
      <c r="I1103" t="s">
        <v>133</v>
      </c>
      <c r="K1103" t="s">
        <v>2976</v>
      </c>
      <c r="O1103" t="s">
        <v>150</v>
      </c>
    </row>
    <row r="1104" spans="1:20" x14ac:dyDescent="0.2">
      <c r="A1104" t="s">
        <v>2977</v>
      </c>
      <c r="B1104" t="s">
        <v>2978</v>
      </c>
      <c r="C1104" t="s">
        <v>2979</v>
      </c>
      <c r="D1104" t="s">
        <v>24</v>
      </c>
      <c r="E1104" t="s">
        <v>133</v>
      </c>
      <c r="O1104" t="s">
        <v>511</v>
      </c>
      <c r="Q1104" t="s">
        <v>2980</v>
      </c>
      <c r="R1104" t="s">
        <v>1680</v>
      </c>
      <c r="S1104" t="s">
        <v>1658</v>
      </c>
      <c r="T1104" t="s">
        <v>487</v>
      </c>
    </row>
    <row r="1105" spans="1:20" x14ac:dyDescent="0.2">
      <c r="A1105" t="s">
        <v>2981</v>
      </c>
      <c r="B1105" t="s">
        <v>2982</v>
      </c>
      <c r="C1105" t="s">
        <v>2983</v>
      </c>
      <c r="D1105" t="s">
        <v>24</v>
      </c>
      <c r="E1105" t="s">
        <v>133</v>
      </c>
      <c r="O1105" t="s">
        <v>161</v>
      </c>
      <c r="Q1105" t="s">
        <v>2984</v>
      </c>
      <c r="R1105" t="s">
        <v>1680</v>
      </c>
      <c r="S1105" t="s">
        <v>1658</v>
      </c>
      <c r="T1105" t="s">
        <v>487</v>
      </c>
    </row>
    <row r="1106" spans="1:20" x14ac:dyDescent="0.2">
      <c r="A1106" t="s">
        <v>2985</v>
      </c>
      <c r="B1106" t="s">
        <v>2986</v>
      </c>
      <c r="C1106" t="s">
        <v>2987</v>
      </c>
      <c r="D1106" t="s">
        <v>14</v>
      </c>
      <c r="E1106" t="s">
        <v>133</v>
      </c>
      <c r="F1106" t="s">
        <v>133</v>
      </c>
      <c r="G1106" t="s">
        <v>133</v>
      </c>
      <c r="H1106" t="s">
        <v>133</v>
      </c>
      <c r="I1106" t="s">
        <v>133</v>
      </c>
      <c r="K1106" t="s">
        <v>2988</v>
      </c>
      <c r="O1106" t="s">
        <v>161</v>
      </c>
    </row>
    <row r="1107" spans="1:20" x14ac:dyDescent="0.2">
      <c r="A1107" t="s">
        <v>2989</v>
      </c>
      <c r="B1107" t="s">
        <v>2990</v>
      </c>
      <c r="C1107" t="s">
        <v>2991</v>
      </c>
      <c r="D1107" t="s">
        <v>14</v>
      </c>
      <c r="E1107" t="s">
        <v>133</v>
      </c>
      <c r="F1107" t="s">
        <v>133</v>
      </c>
      <c r="G1107" t="s">
        <v>133</v>
      </c>
      <c r="H1107" t="s">
        <v>133</v>
      </c>
      <c r="I1107" t="s">
        <v>133</v>
      </c>
      <c r="K1107" t="s">
        <v>2992</v>
      </c>
      <c r="O1107" t="s">
        <v>161</v>
      </c>
    </row>
    <row r="1108" spans="1:20" x14ac:dyDescent="0.2">
      <c r="A1108" t="s">
        <v>2993</v>
      </c>
      <c r="B1108" t="s">
        <v>2994</v>
      </c>
      <c r="C1108" t="s">
        <v>2995</v>
      </c>
      <c r="D1108" t="s">
        <v>14</v>
      </c>
      <c r="E1108" t="s">
        <v>133</v>
      </c>
      <c r="K1108" t="s">
        <v>2996</v>
      </c>
      <c r="O1108" t="s">
        <v>161</v>
      </c>
      <c r="Q1108" t="s">
        <v>2997</v>
      </c>
    </row>
    <row r="1109" spans="1:20" x14ac:dyDescent="0.2">
      <c r="A1109" t="s">
        <v>2998</v>
      </c>
      <c r="B1109" t="s">
        <v>2999</v>
      </c>
      <c r="C1109" t="s">
        <v>3000</v>
      </c>
      <c r="D1109" t="s">
        <v>24</v>
      </c>
      <c r="E1109" t="s">
        <v>133</v>
      </c>
      <c r="O1109" t="s">
        <v>161</v>
      </c>
      <c r="Q1109" t="s">
        <v>3001</v>
      </c>
      <c r="R1109" t="s">
        <v>1680</v>
      </c>
      <c r="S1109" t="s">
        <v>1658</v>
      </c>
      <c r="T1109" t="s">
        <v>487</v>
      </c>
    </row>
    <row r="1110" spans="1:20" x14ac:dyDescent="0.2">
      <c r="A1110" t="s">
        <v>3002</v>
      </c>
      <c r="B1110" t="s">
        <v>3003</v>
      </c>
      <c r="C1110" t="s">
        <v>3004</v>
      </c>
      <c r="D1110" t="s">
        <v>14</v>
      </c>
      <c r="E1110" t="s">
        <v>133</v>
      </c>
      <c r="F1110" t="s">
        <v>133</v>
      </c>
      <c r="G1110" t="s">
        <v>133</v>
      </c>
      <c r="H1110" t="s">
        <v>133</v>
      </c>
      <c r="I1110" t="s">
        <v>133</v>
      </c>
      <c r="K1110" t="s">
        <v>3005</v>
      </c>
      <c r="L1110" t="s">
        <v>2814</v>
      </c>
      <c r="O1110" t="s">
        <v>150</v>
      </c>
    </row>
    <row r="1111" spans="1:20" x14ac:dyDescent="0.2">
      <c r="A1111" t="s">
        <v>3006</v>
      </c>
      <c r="B1111" t="s">
        <v>3007</v>
      </c>
      <c r="C1111" t="s">
        <v>3008</v>
      </c>
      <c r="D1111" t="s">
        <v>14</v>
      </c>
      <c r="E1111" t="s">
        <v>133</v>
      </c>
      <c r="F1111" t="s">
        <v>133</v>
      </c>
      <c r="G1111" t="s">
        <v>133</v>
      </c>
      <c r="H1111" t="s">
        <v>133</v>
      </c>
      <c r="I1111" t="s">
        <v>133</v>
      </c>
      <c r="K1111" t="s">
        <v>3009</v>
      </c>
      <c r="O1111" t="s">
        <v>150</v>
      </c>
    </row>
    <row r="1112" spans="1:20" x14ac:dyDescent="0.2">
      <c r="A1112" t="s">
        <v>3010</v>
      </c>
      <c r="B1112" t="s">
        <v>3011</v>
      </c>
      <c r="C1112" t="s">
        <v>3012</v>
      </c>
      <c r="D1112" t="s">
        <v>35</v>
      </c>
      <c r="E1112" t="s">
        <v>505</v>
      </c>
      <c r="F1112" t="s">
        <v>133</v>
      </c>
      <c r="G1112" t="s">
        <v>133</v>
      </c>
      <c r="H1112" t="s">
        <v>133</v>
      </c>
      <c r="I1112" t="s">
        <v>133</v>
      </c>
      <c r="O1112" t="s">
        <v>511</v>
      </c>
      <c r="R1112" t="s">
        <v>1680</v>
      </c>
      <c r="S1112" t="s">
        <v>1658</v>
      </c>
      <c r="T1112" t="s">
        <v>487</v>
      </c>
    </row>
    <row r="1113" spans="1:20" x14ac:dyDescent="0.2">
      <c r="A1113" t="s">
        <v>3010</v>
      </c>
      <c r="B1113" t="s">
        <v>3011</v>
      </c>
      <c r="C1113" t="s">
        <v>3012</v>
      </c>
      <c r="D1113" t="s">
        <v>61</v>
      </c>
      <c r="E1113" t="s">
        <v>255</v>
      </c>
      <c r="F1113" t="s">
        <v>133</v>
      </c>
      <c r="G1113" t="s">
        <v>133</v>
      </c>
      <c r="H1113" t="s">
        <v>133</v>
      </c>
      <c r="I1113" t="s">
        <v>133</v>
      </c>
      <c r="K1113" t="s">
        <v>3013</v>
      </c>
      <c r="O1113" t="s">
        <v>511</v>
      </c>
    </row>
    <row r="1114" spans="1:20" x14ac:dyDescent="0.2">
      <c r="A1114" t="s">
        <v>3014</v>
      </c>
      <c r="B1114" t="s">
        <v>3015</v>
      </c>
      <c r="C1114" t="s">
        <v>3016</v>
      </c>
      <c r="D1114" t="s">
        <v>14</v>
      </c>
      <c r="E1114" t="s">
        <v>133</v>
      </c>
      <c r="K1114" t="s">
        <v>3017</v>
      </c>
      <c r="O1114" t="s">
        <v>150</v>
      </c>
    </row>
    <row r="1115" spans="1:20" x14ac:dyDescent="0.2">
      <c r="A1115" t="s">
        <v>3018</v>
      </c>
      <c r="B1115" t="s">
        <v>3019</v>
      </c>
      <c r="C1115" t="s">
        <v>3020</v>
      </c>
      <c r="D1115" t="s">
        <v>35</v>
      </c>
      <c r="E1115" t="s">
        <v>505</v>
      </c>
      <c r="O1115" t="s">
        <v>511</v>
      </c>
      <c r="Q1115" t="s">
        <v>3021</v>
      </c>
      <c r="R1115" t="s">
        <v>1680</v>
      </c>
      <c r="S1115" t="s">
        <v>1658</v>
      </c>
      <c r="T1115" t="s">
        <v>487</v>
      </c>
    </row>
    <row r="1116" spans="1:20" x14ac:dyDescent="0.2">
      <c r="A1116" t="s">
        <v>3018</v>
      </c>
      <c r="B1116" t="s">
        <v>3019</v>
      </c>
      <c r="C1116" t="s">
        <v>3020</v>
      </c>
      <c r="D1116" t="s">
        <v>35</v>
      </c>
      <c r="E1116" t="s">
        <v>255</v>
      </c>
      <c r="O1116" t="s">
        <v>511</v>
      </c>
      <c r="R1116" t="s">
        <v>1680</v>
      </c>
      <c r="S1116" t="s">
        <v>1658</v>
      </c>
      <c r="T1116" t="s">
        <v>487</v>
      </c>
    </row>
    <row r="1117" spans="1:20" x14ac:dyDescent="0.2">
      <c r="A1117" t="s">
        <v>3022</v>
      </c>
      <c r="B1117" t="s">
        <v>3023</v>
      </c>
      <c r="C1117" t="s">
        <v>3024</v>
      </c>
      <c r="D1117" t="s">
        <v>24</v>
      </c>
      <c r="E1117" t="s">
        <v>133</v>
      </c>
      <c r="O1117" t="s">
        <v>150</v>
      </c>
      <c r="R1117" t="s">
        <v>1680</v>
      </c>
      <c r="S1117" t="s">
        <v>1658</v>
      </c>
      <c r="T1117" t="s">
        <v>487</v>
      </c>
    </row>
    <row r="1118" spans="1:20" x14ac:dyDescent="0.2">
      <c r="A1118" t="s">
        <v>3025</v>
      </c>
      <c r="B1118" t="s">
        <v>3026</v>
      </c>
      <c r="C1118" t="s">
        <v>3027</v>
      </c>
      <c r="D1118" t="s">
        <v>14</v>
      </c>
      <c r="E1118" t="s">
        <v>133</v>
      </c>
      <c r="F1118" t="s">
        <v>133</v>
      </c>
      <c r="G1118" t="s">
        <v>133</v>
      </c>
      <c r="H1118" t="s">
        <v>133</v>
      </c>
      <c r="I1118" t="s">
        <v>133</v>
      </c>
      <c r="K1118" t="s">
        <v>3028</v>
      </c>
      <c r="O1118" t="s">
        <v>150</v>
      </c>
    </row>
    <row r="1119" spans="1:20" x14ac:dyDescent="0.2">
      <c r="A1119" t="s">
        <v>3029</v>
      </c>
      <c r="B1119" t="s">
        <v>3030</v>
      </c>
      <c r="C1119" t="s">
        <v>3031</v>
      </c>
      <c r="D1119" t="s">
        <v>14</v>
      </c>
      <c r="E1119" t="s">
        <v>133</v>
      </c>
      <c r="K1119" t="s">
        <v>3032</v>
      </c>
      <c r="O1119" t="s">
        <v>150</v>
      </c>
    </row>
    <row r="1120" spans="1:20" x14ac:dyDescent="0.2">
      <c r="A1120" t="s">
        <v>3033</v>
      </c>
      <c r="B1120" t="s">
        <v>3034</v>
      </c>
      <c r="C1120" t="s">
        <v>3035</v>
      </c>
      <c r="D1120" t="s">
        <v>14</v>
      </c>
      <c r="E1120" t="s">
        <v>133</v>
      </c>
      <c r="K1120" t="s">
        <v>3036</v>
      </c>
      <c r="O1120" t="s">
        <v>511</v>
      </c>
      <c r="Q1120" t="s">
        <v>3036</v>
      </c>
    </row>
    <row r="1121" spans="1:20" x14ac:dyDescent="0.2">
      <c r="A1121" t="s">
        <v>3037</v>
      </c>
      <c r="B1121" t="s">
        <v>3038</v>
      </c>
      <c r="C1121" t="s">
        <v>3039</v>
      </c>
      <c r="D1121" t="s">
        <v>24</v>
      </c>
      <c r="E1121" t="s">
        <v>133</v>
      </c>
      <c r="O1121" t="s">
        <v>150</v>
      </c>
      <c r="R1121" t="s">
        <v>1680</v>
      </c>
      <c r="S1121" t="s">
        <v>1658</v>
      </c>
      <c r="T1121" t="s">
        <v>487</v>
      </c>
    </row>
    <row r="1122" spans="1:20" x14ac:dyDescent="0.2">
      <c r="A1122" t="s">
        <v>3040</v>
      </c>
      <c r="B1122" t="s">
        <v>3041</v>
      </c>
      <c r="C1122" t="s">
        <v>3042</v>
      </c>
      <c r="D1122" t="s">
        <v>14</v>
      </c>
      <c r="E1122" t="s">
        <v>133</v>
      </c>
      <c r="F1122" t="s">
        <v>133</v>
      </c>
      <c r="G1122" t="s">
        <v>133</v>
      </c>
      <c r="H1122" t="s">
        <v>133</v>
      </c>
      <c r="I1122" t="s">
        <v>133</v>
      </c>
      <c r="K1122" t="s">
        <v>3043</v>
      </c>
      <c r="O1122" t="s">
        <v>150</v>
      </c>
    </row>
    <row r="1123" spans="1:20" x14ac:dyDescent="0.2">
      <c r="A1123" t="s">
        <v>3044</v>
      </c>
      <c r="B1123" t="s">
        <v>3045</v>
      </c>
      <c r="C1123" t="s">
        <v>3046</v>
      </c>
      <c r="D1123" t="s">
        <v>14</v>
      </c>
      <c r="E1123" t="s">
        <v>133</v>
      </c>
      <c r="F1123" t="s">
        <v>133</v>
      </c>
      <c r="G1123" t="s">
        <v>133</v>
      </c>
      <c r="H1123" t="s">
        <v>133</v>
      </c>
      <c r="I1123" t="s">
        <v>133</v>
      </c>
      <c r="K1123" t="s">
        <v>3047</v>
      </c>
      <c r="O1123" t="s">
        <v>150</v>
      </c>
    </row>
    <row r="1124" spans="1:20" x14ac:dyDescent="0.2">
      <c r="A1124" t="s">
        <v>3048</v>
      </c>
      <c r="B1124" t="s">
        <v>3049</v>
      </c>
      <c r="C1124" t="s">
        <v>3050</v>
      </c>
      <c r="D1124" t="s">
        <v>24</v>
      </c>
      <c r="E1124" t="s">
        <v>133</v>
      </c>
      <c r="O1124" t="s">
        <v>150</v>
      </c>
      <c r="Q1124" t="s">
        <v>3051</v>
      </c>
      <c r="R1124" t="s">
        <v>1680</v>
      </c>
      <c r="S1124" t="s">
        <v>1658</v>
      </c>
      <c r="T1124" t="s">
        <v>487</v>
      </c>
    </row>
    <row r="1125" spans="1:20" x14ac:dyDescent="0.2">
      <c r="A1125" t="s">
        <v>3052</v>
      </c>
      <c r="B1125" t="s">
        <v>3053</v>
      </c>
      <c r="C1125" t="s">
        <v>3054</v>
      </c>
      <c r="D1125" t="s">
        <v>14</v>
      </c>
      <c r="E1125" t="s">
        <v>133</v>
      </c>
      <c r="K1125" t="s">
        <v>3055</v>
      </c>
      <c r="L1125" t="s">
        <v>160</v>
      </c>
      <c r="O1125" t="s">
        <v>150</v>
      </c>
    </row>
    <row r="1126" spans="1:20" x14ac:dyDescent="0.2">
      <c r="A1126" t="s">
        <v>3056</v>
      </c>
      <c r="B1126" t="s">
        <v>3057</v>
      </c>
      <c r="C1126" t="s">
        <v>3058</v>
      </c>
      <c r="D1126" t="s">
        <v>14</v>
      </c>
      <c r="E1126" t="s">
        <v>133</v>
      </c>
      <c r="F1126" t="s">
        <v>3059</v>
      </c>
      <c r="G1126" t="s">
        <v>2962</v>
      </c>
      <c r="H1126" t="s">
        <v>133</v>
      </c>
      <c r="I1126" t="s">
        <v>133</v>
      </c>
      <c r="K1126" t="s">
        <v>2769</v>
      </c>
      <c r="O1126" t="s">
        <v>150</v>
      </c>
    </row>
    <row r="1127" spans="1:20" x14ac:dyDescent="0.2">
      <c r="A1127" t="s">
        <v>3060</v>
      </c>
      <c r="B1127" t="s">
        <v>3061</v>
      </c>
      <c r="C1127" t="s">
        <v>3062</v>
      </c>
      <c r="D1127" t="s">
        <v>14</v>
      </c>
      <c r="E1127" t="s">
        <v>133</v>
      </c>
      <c r="F1127" t="s">
        <v>3059</v>
      </c>
      <c r="G1127" t="s">
        <v>2962</v>
      </c>
      <c r="H1127" t="s">
        <v>133</v>
      </c>
      <c r="I1127" t="s">
        <v>133</v>
      </c>
      <c r="K1127" t="s">
        <v>2773</v>
      </c>
      <c r="O1127" t="s">
        <v>150</v>
      </c>
    </row>
    <row r="1128" spans="1:20" x14ac:dyDescent="0.2">
      <c r="A1128" t="s">
        <v>3063</v>
      </c>
      <c r="B1128" t="s">
        <v>3064</v>
      </c>
      <c r="C1128" t="s">
        <v>3065</v>
      </c>
      <c r="D1128" t="s">
        <v>24</v>
      </c>
      <c r="E1128" t="s">
        <v>133</v>
      </c>
      <c r="O1128" t="s">
        <v>150</v>
      </c>
      <c r="R1128" t="s">
        <v>1680</v>
      </c>
      <c r="S1128" t="s">
        <v>1658</v>
      </c>
      <c r="T1128" t="s">
        <v>487</v>
      </c>
    </row>
    <row r="1129" spans="1:20" x14ac:dyDescent="0.2">
      <c r="A1129" t="s">
        <v>3066</v>
      </c>
      <c r="B1129" t="s">
        <v>3067</v>
      </c>
      <c r="C1129" t="s">
        <v>3068</v>
      </c>
      <c r="D1129" t="s">
        <v>14</v>
      </c>
      <c r="E1129" t="s">
        <v>133</v>
      </c>
      <c r="F1129" t="s">
        <v>133</v>
      </c>
      <c r="G1129" t="s">
        <v>133</v>
      </c>
      <c r="H1129" t="s">
        <v>133</v>
      </c>
      <c r="I1129" t="s">
        <v>133</v>
      </c>
      <c r="K1129" t="s">
        <v>3069</v>
      </c>
      <c r="O1129" t="s">
        <v>150</v>
      </c>
    </row>
    <row r="1130" spans="1:20" x14ac:dyDescent="0.2">
      <c r="A1130" t="s">
        <v>3070</v>
      </c>
      <c r="B1130" t="s">
        <v>3071</v>
      </c>
      <c r="C1130" t="s">
        <v>3072</v>
      </c>
      <c r="D1130" t="s">
        <v>14</v>
      </c>
      <c r="E1130" t="s">
        <v>133</v>
      </c>
      <c r="F1130" t="s">
        <v>133</v>
      </c>
      <c r="G1130" t="s">
        <v>133</v>
      </c>
      <c r="H1130" t="s">
        <v>133</v>
      </c>
      <c r="I1130" t="s">
        <v>133</v>
      </c>
      <c r="K1130" t="s">
        <v>3073</v>
      </c>
      <c r="O1130" t="s">
        <v>150</v>
      </c>
    </row>
    <row r="1131" spans="1:20" x14ac:dyDescent="0.2">
      <c r="A1131" t="s">
        <v>3074</v>
      </c>
      <c r="B1131" t="s">
        <v>3075</v>
      </c>
      <c r="C1131" t="s">
        <v>3076</v>
      </c>
      <c r="D1131" t="s">
        <v>24</v>
      </c>
      <c r="E1131" t="s">
        <v>133</v>
      </c>
      <c r="O1131" t="s">
        <v>511</v>
      </c>
      <c r="Q1131" t="s">
        <v>3077</v>
      </c>
      <c r="R1131" t="s">
        <v>1680</v>
      </c>
      <c r="S1131" t="s">
        <v>1658</v>
      </c>
      <c r="T1131" t="s">
        <v>487</v>
      </c>
    </row>
    <row r="1132" spans="1:20" x14ac:dyDescent="0.2">
      <c r="A1132" t="s">
        <v>3078</v>
      </c>
      <c r="B1132" t="s">
        <v>3079</v>
      </c>
      <c r="C1132" t="s">
        <v>3080</v>
      </c>
      <c r="D1132" t="s">
        <v>24</v>
      </c>
      <c r="E1132" t="s">
        <v>133</v>
      </c>
      <c r="O1132" t="s">
        <v>161</v>
      </c>
      <c r="Q1132" t="s">
        <v>3081</v>
      </c>
      <c r="R1132" t="s">
        <v>1680</v>
      </c>
      <c r="S1132" t="s">
        <v>1658</v>
      </c>
      <c r="T1132" t="s">
        <v>487</v>
      </c>
    </row>
    <row r="1133" spans="1:20" x14ac:dyDescent="0.2">
      <c r="A1133" t="s">
        <v>3082</v>
      </c>
      <c r="B1133" t="s">
        <v>3083</v>
      </c>
      <c r="C1133" t="s">
        <v>3084</v>
      </c>
      <c r="D1133" t="s">
        <v>14</v>
      </c>
      <c r="E1133" t="s">
        <v>133</v>
      </c>
      <c r="F1133" t="s">
        <v>133</v>
      </c>
      <c r="G1133" t="s">
        <v>133</v>
      </c>
      <c r="H1133" t="s">
        <v>133</v>
      </c>
      <c r="I1133" t="s">
        <v>133</v>
      </c>
      <c r="K1133" t="s">
        <v>3085</v>
      </c>
      <c r="O1133" t="s">
        <v>161</v>
      </c>
    </row>
    <row r="1134" spans="1:20" x14ac:dyDescent="0.2">
      <c r="A1134" t="s">
        <v>3086</v>
      </c>
      <c r="B1134" t="s">
        <v>3087</v>
      </c>
      <c r="C1134" t="s">
        <v>3088</v>
      </c>
      <c r="D1134" t="s">
        <v>14</v>
      </c>
      <c r="E1134" t="s">
        <v>133</v>
      </c>
      <c r="F1134" t="s">
        <v>133</v>
      </c>
      <c r="G1134" t="s">
        <v>133</v>
      </c>
      <c r="H1134" t="s">
        <v>133</v>
      </c>
      <c r="I1134" t="s">
        <v>133</v>
      </c>
      <c r="K1134" t="s">
        <v>3089</v>
      </c>
      <c r="O1134" t="s">
        <v>161</v>
      </c>
    </row>
    <row r="1135" spans="1:20" x14ac:dyDescent="0.2">
      <c r="A1135" t="s">
        <v>3090</v>
      </c>
      <c r="B1135" t="s">
        <v>3091</v>
      </c>
      <c r="C1135" t="s">
        <v>3092</v>
      </c>
      <c r="D1135" t="s">
        <v>14</v>
      </c>
      <c r="E1135" t="s">
        <v>133</v>
      </c>
      <c r="K1135" t="s">
        <v>3093</v>
      </c>
      <c r="L1135" t="s">
        <v>160</v>
      </c>
      <c r="O1135" t="s">
        <v>150</v>
      </c>
    </row>
    <row r="1136" spans="1:20" x14ac:dyDescent="0.2">
      <c r="A1136" t="s">
        <v>3094</v>
      </c>
      <c r="B1136" t="s">
        <v>3095</v>
      </c>
      <c r="C1136" t="s">
        <v>3096</v>
      </c>
      <c r="D1136" t="s">
        <v>24</v>
      </c>
      <c r="E1136" t="s">
        <v>133</v>
      </c>
      <c r="O1136" t="s">
        <v>161</v>
      </c>
      <c r="R1136" t="s">
        <v>1004</v>
      </c>
      <c r="S1136" t="s">
        <v>1005</v>
      </c>
      <c r="T1136" t="s">
        <v>487</v>
      </c>
    </row>
    <row r="1137" spans="1:20" x14ac:dyDescent="0.2">
      <c r="A1137" t="s">
        <v>3097</v>
      </c>
      <c r="B1137" t="s">
        <v>3098</v>
      </c>
      <c r="C1137" t="s">
        <v>3099</v>
      </c>
      <c r="D1137" t="s">
        <v>35</v>
      </c>
      <c r="E1137" t="s">
        <v>505</v>
      </c>
      <c r="F1137" t="s">
        <v>133</v>
      </c>
      <c r="G1137" t="s">
        <v>133</v>
      </c>
      <c r="H1137" t="s">
        <v>133</v>
      </c>
      <c r="I1137" t="s">
        <v>133</v>
      </c>
      <c r="O1137" t="s">
        <v>511</v>
      </c>
      <c r="R1137" t="s">
        <v>1004</v>
      </c>
      <c r="S1137" t="s">
        <v>1005</v>
      </c>
      <c r="T1137" t="s">
        <v>487</v>
      </c>
    </row>
    <row r="1138" spans="1:20" x14ac:dyDescent="0.2">
      <c r="A1138" t="s">
        <v>3097</v>
      </c>
      <c r="B1138" t="s">
        <v>3098</v>
      </c>
      <c r="C1138" t="s">
        <v>3099</v>
      </c>
      <c r="D1138" t="s">
        <v>61</v>
      </c>
      <c r="E1138" t="s">
        <v>255</v>
      </c>
      <c r="F1138" t="s">
        <v>133</v>
      </c>
      <c r="G1138" t="s">
        <v>133</v>
      </c>
      <c r="H1138" t="s">
        <v>133</v>
      </c>
      <c r="I1138" t="s">
        <v>133</v>
      </c>
      <c r="K1138" t="s">
        <v>3100</v>
      </c>
      <c r="O1138" t="s">
        <v>511</v>
      </c>
    </row>
    <row r="1139" spans="1:20" x14ac:dyDescent="0.2">
      <c r="A1139" t="s">
        <v>3101</v>
      </c>
      <c r="B1139" t="s">
        <v>3102</v>
      </c>
      <c r="C1139" t="s">
        <v>3103</v>
      </c>
      <c r="D1139" t="s">
        <v>14</v>
      </c>
      <c r="E1139" t="s">
        <v>133</v>
      </c>
      <c r="K1139" t="s">
        <v>3104</v>
      </c>
      <c r="L1139" t="s">
        <v>160</v>
      </c>
      <c r="O1139" t="s">
        <v>161</v>
      </c>
    </row>
    <row r="1140" spans="1:20" x14ac:dyDescent="0.2">
      <c r="A1140" t="s">
        <v>3105</v>
      </c>
      <c r="B1140" t="s">
        <v>3106</v>
      </c>
      <c r="C1140" t="s">
        <v>3107</v>
      </c>
      <c r="D1140" t="s">
        <v>14</v>
      </c>
      <c r="E1140" t="s">
        <v>133</v>
      </c>
      <c r="F1140" t="s">
        <v>133</v>
      </c>
      <c r="G1140" t="s">
        <v>1003</v>
      </c>
      <c r="H1140" t="s">
        <v>133</v>
      </c>
      <c r="I1140" t="s">
        <v>133</v>
      </c>
      <c r="K1140" t="s">
        <v>2769</v>
      </c>
      <c r="O1140" t="s">
        <v>161</v>
      </c>
    </row>
    <row r="1141" spans="1:20" x14ac:dyDescent="0.2">
      <c r="A1141" t="s">
        <v>3108</v>
      </c>
      <c r="B1141" t="s">
        <v>3109</v>
      </c>
      <c r="C1141" t="s">
        <v>3110</v>
      </c>
      <c r="D1141" t="s">
        <v>24</v>
      </c>
      <c r="E1141" t="s">
        <v>133</v>
      </c>
      <c r="F1141" t="s">
        <v>133</v>
      </c>
      <c r="G1141" t="s">
        <v>133</v>
      </c>
      <c r="H1141" t="s">
        <v>133</v>
      </c>
      <c r="I1141" t="s">
        <v>133</v>
      </c>
      <c r="O1141" t="s">
        <v>161</v>
      </c>
      <c r="R1141" t="s">
        <v>1689</v>
      </c>
      <c r="S1141" t="s">
        <v>1690</v>
      </c>
      <c r="T1141" t="s">
        <v>487</v>
      </c>
    </row>
    <row r="1142" spans="1:20" x14ac:dyDescent="0.2">
      <c r="A1142" t="s">
        <v>3111</v>
      </c>
      <c r="B1142" t="s">
        <v>3112</v>
      </c>
      <c r="C1142" t="s">
        <v>3113</v>
      </c>
      <c r="D1142" t="s">
        <v>14</v>
      </c>
      <c r="E1142" t="s">
        <v>133</v>
      </c>
      <c r="F1142" t="s">
        <v>133</v>
      </c>
      <c r="G1142" t="s">
        <v>133</v>
      </c>
      <c r="H1142" t="s">
        <v>133</v>
      </c>
      <c r="I1142" t="s">
        <v>133</v>
      </c>
      <c r="K1142" t="s">
        <v>3114</v>
      </c>
      <c r="O1142" t="s">
        <v>161</v>
      </c>
    </row>
    <row r="1143" spans="1:20" x14ac:dyDescent="0.2">
      <c r="A1143" t="s">
        <v>3115</v>
      </c>
      <c r="B1143" t="s">
        <v>3116</v>
      </c>
      <c r="C1143" t="s">
        <v>3117</v>
      </c>
      <c r="D1143" t="s">
        <v>35</v>
      </c>
      <c r="E1143" t="s">
        <v>505</v>
      </c>
      <c r="F1143" t="s">
        <v>133</v>
      </c>
      <c r="G1143" t="s">
        <v>133</v>
      </c>
      <c r="H1143" t="s">
        <v>133</v>
      </c>
      <c r="I1143" t="s">
        <v>133</v>
      </c>
      <c r="O1143" t="s">
        <v>511</v>
      </c>
      <c r="R1143" t="s">
        <v>1692</v>
      </c>
      <c r="S1143" t="s">
        <v>1693</v>
      </c>
      <c r="T1143" t="s">
        <v>487</v>
      </c>
    </row>
    <row r="1144" spans="1:20" x14ac:dyDescent="0.2">
      <c r="A1144" t="s">
        <v>3115</v>
      </c>
      <c r="B1144" t="s">
        <v>3116</v>
      </c>
      <c r="C1144" t="s">
        <v>3117</v>
      </c>
      <c r="D1144" t="s">
        <v>61</v>
      </c>
      <c r="E1144" t="s">
        <v>255</v>
      </c>
      <c r="F1144" t="s">
        <v>133</v>
      </c>
      <c r="G1144" t="s">
        <v>133</v>
      </c>
      <c r="H1144" t="s">
        <v>133</v>
      </c>
      <c r="I1144" t="s">
        <v>133</v>
      </c>
      <c r="K1144" t="s">
        <v>3118</v>
      </c>
      <c r="O1144" t="s">
        <v>511</v>
      </c>
    </row>
    <row r="1145" spans="1:20" x14ac:dyDescent="0.2">
      <c r="A1145" t="s">
        <v>3119</v>
      </c>
      <c r="B1145" t="s">
        <v>3120</v>
      </c>
      <c r="C1145" t="s">
        <v>3121</v>
      </c>
      <c r="D1145" t="s">
        <v>14</v>
      </c>
      <c r="E1145" t="s">
        <v>133</v>
      </c>
      <c r="K1145" t="s">
        <v>3122</v>
      </c>
      <c r="L1145" t="s">
        <v>160</v>
      </c>
      <c r="O1145" t="s">
        <v>161</v>
      </c>
    </row>
    <row r="1146" spans="1:20" x14ac:dyDescent="0.2">
      <c r="A1146" t="s">
        <v>3123</v>
      </c>
      <c r="B1146" t="s">
        <v>3124</v>
      </c>
      <c r="C1146" t="s">
        <v>3125</v>
      </c>
      <c r="D1146" t="s">
        <v>14</v>
      </c>
      <c r="E1146" t="s">
        <v>133</v>
      </c>
      <c r="F1146" t="s">
        <v>133</v>
      </c>
      <c r="G1146" t="s">
        <v>1691</v>
      </c>
      <c r="H1146" t="s">
        <v>133</v>
      </c>
      <c r="I1146" t="s">
        <v>133</v>
      </c>
      <c r="K1146" t="s">
        <v>2769</v>
      </c>
      <c r="O1146" t="s">
        <v>161</v>
      </c>
    </row>
    <row r="1147" spans="1:20" x14ac:dyDescent="0.2">
      <c r="A1147" t="s">
        <v>3126</v>
      </c>
      <c r="B1147" t="s">
        <v>3127</v>
      </c>
      <c r="C1147" t="s">
        <v>3128</v>
      </c>
      <c r="D1147" t="s">
        <v>14</v>
      </c>
      <c r="E1147" t="s">
        <v>133</v>
      </c>
      <c r="K1147" t="s">
        <v>3129</v>
      </c>
      <c r="O1147" t="s">
        <v>161</v>
      </c>
    </row>
    <row r="1148" spans="1:20" x14ac:dyDescent="0.2">
      <c r="A1148" t="s">
        <v>3130</v>
      </c>
      <c r="B1148" t="s">
        <v>3131</v>
      </c>
      <c r="C1148" t="s">
        <v>3132</v>
      </c>
      <c r="D1148" t="s">
        <v>14</v>
      </c>
      <c r="E1148" t="s">
        <v>133</v>
      </c>
      <c r="K1148" t="s">
        <v>3133</v>
      </c>
      <c r="O1148" t="s">
        <v>161</v>
      </c>
    </row>
    <row r="1149" spans="1:20" x14ac:dyDescent="0.2">
      <c r="A1149" t="s">
        <v>3134</v>
      </c>
      <c r="B1149" t="s">
        <v>3135</v>
      </c>
      <c r="C1149" t="s">
        <v>3136</v>
      </c>
      <c r="D1149" t="s">
        <v>14</v>
      </c>
      <c r="E1149" t="s">
        <v>133</v>
      </c>
      <c r="K1149" t="s">
        <v>3137</v>
      </c>
      <c r="O1149" t="s">
        <v>161</v>
      </c>
    </row>
    <row r="1150" spans="1:20" x14ac:dyDescent="0.2">
      <c r="A1150" t="s">
        <v>3138</v>
      </c>
      <c r="B1150" t="s">
        <v>3139</v>
      </c>
      <c r="C1150" t="s">
        <v>3140</v>
      </c>
      <c r="D1150" t="s">
        <v>24</v>
      </c>
      <c r="E1150" t="s">
        <v>133</v>
      </c>
      <c r="O1150" t="s">
        <v>511</v>
      </c>
      <c r="Q1150" t="s">
        <v>3141</v>
      </c>
      <c r="R1150" t="s">
        <v>1692</v>
      </c>
      <c r="S1150" t="s">
        <v>1693</v>
      </c>
      <c r="T1150" t="s">
        <v>487</v>
      </c>
    </row>
    <row r="1151" spans="1:20" x14ac:dyDescent="0.2">
      <c r="A1151" t="s">
        <v>3142</v>
      </c>
      <c r="B1151" t="s">
        <v>3143</v>
      </c>
      <c r="C1151" t="s">
        <v>3144</v>
      </c>
      <c r="D1151" t="s">
        <v>24</v>
      </c>
      <c r="E1151" t="s">
        <v>133</v>
      </c>
      <c r="O1151" t="s">
        <v>161</v>
      </c>
      <c r="Q1151" t="s">
        <v>3145</v>
      </c>
      <c r="R1151" t="s">
        <v>1692</v>
      </c>
      <c r="S1151" t="s">
        <v>1693</v>
      </c>
      <c r="T1151" t="s">
        <v>487</v>
      </c>
    </row>
    <row r="1152" spans="1:20" x14ac:dyDescent="0.2">
      <c r="A1152" t="s">
        <v>3146</v>
      </c>
      <c r="B1152" t="s">
        <v>3147</v>
      </c>
      <c r="C1152" t="s">
        <v>3148</v>
      </c>
      <c r="D1152" t="s">
        <v>14</v>
      </c>
      <c r="E1152" t="s">
        <v>133</v>
      </c>
      <c r="K1152" t="s">
        <v>3149</v>
      </c>
      <c r="O1152" t="s">
        <v>150</v>
      </c>
    </row>
    <row r="1153" spans="1:20" x14ac:dyDescent="0.2">
      <c r="A1153" t="s">
        <v>3150</v>
      </c>
      <c r="B1153" t="s">
        <v>3151</v>
      </c>
      <c r="C1153" t="s">
        <v>3152</v>
      </c>
      <c r="D1153" t="s">
        <v>24</v>
      </c>
      <c r="E1153" t="s">
        <v>133</v>
      </c>
      <c r="O1153" t="s">
        <v>150</v>
      </c>
      <c r="Q1153" t="s">
        <v>3153</v>
      </c>
      <c r="R1153" t="s">
        <v>1692</v>
      </c>
      <c r="S1153" t="s">
        <v>1693</v>
      </c>
      <c r="T1153" t="s">
        <v>487</v>
      </c>
    </row>
    <row r="1154" spans="1:20" x14ac:dyDescent="0.2">
      <c r="A1154" t="s">
        <v>3154</v>
      </c>
      <c r="B1154" t="s">
        <v>3155</v>
      </c>
      <c r="C1154" t="s">
        <v>3156</v>
      </c>
      <c r="D1154" t="s">
        <v>24</v>
      </c>
      <c r="E1154" t="s">
        <v>133</v>
      </c>
      <c r="O1154" t="s">
        <v>150</v>
      </c>
      <c r="Q1154" t="s">
        <v>3157</v>
      </c>
      <c r="R1154" t="s">
        <v>1692</v>
      </c>
      <c r="S1154" t="s">
        <v>1693</v>
      </c>
      <c r="T1154" t="s">
        <v>487</v>
      </c>
    </row>
    <row r="1155" spans="1:20" x14ac:dyDescent="0.2">
      <c r="A1155" t="s">
        <v>3158</v>
      </c>
      <c r="B1155" t="s">
        <v>3159</v>
      </c>
      <c r="C1155" t="s">
        <v>3160</v>
      </c>
      <c r="D1155" t="s">
        <v>14</v>
      </c>
      <c r="E1155" t="s">
        <v>133</v>
      </c>
      <c r="K1155" t="s">
        <v>3161</v>
      </c>
      <c r="O1155" t="s">
        <v>161</v>
      </c>
    </row>
    <row r="1156" spans="1:20" x14ac:dyDescent="0.2">
      <c r="A1156" t="s">
        <v>3162</v>
      </c>
      <c r="B1156" t="s">
        <v>3163</v>
      </c>
      <c r="C1156" t="s">
        <v>3164</v>
      </c>
      <c r="D1156" t="s">
        <v>14</v>
      </c>
      <c r="E1156" t="s">
        <v>133</v>
      </c>
      <c r="K1156" t="s">
        <v>3165</v>
      </c>
      <c r="O1156" t="s">
        <v>150</v>
      </c>
    </row>
    <row r="1157" spans="1:20" x14ac:dyDescent="0.2">
      <c r="A1157" t="s">
        <v>3166</v>
      </c>
      <c r="B1157" t="s">
        <v>3167</v>
      </c>
      <c r="C1157" t="s">
        <v>3168</v>
      </c>
      <c r="D1157" t="s">
        <v>24</v>
      </c>
      <c r="E1157" t="s">
        <v>133</v>
      </c>
      <c r="O1157" t="s">
        <v>511</v>
      </c>
      <c r="Q1157" t="s">
        <v>3169</v>
      </c>
      <c r="R1157" t="s">
        <v>1692</v>
      </c>
      <c r="S1157" t="s">
        <v>1693</v>
      </c>
      <c r="T1157" t="s">
        <v>487</v>
      </c>
    </row>
    <row r="1158" spans="1:20" x14ac:dyDescent="0.2">
      <c r="A1158" t="s">
        <v>3170</v>
      </c>
      <c r="B1158" t="s">
        <v>3171</v>
      </c>
      <c r="C1158" t="s">
        <v>3172</v>
      </c>
      <c r="D1158" t="s">
        <v>24</v>
      </c>
      <c r="E1158" t="s">
        <v>133</v>
      </c>
      <c r="O1158" t="s">
        <v>161</v>
      </c>
      <c r="Q1158" t="s">
        <v>3173</v>
      </c>
      <c r="R1158" t="s">
        <v>1692</v>
      </c>
      <c r="S1158" t="s">
        <v>1693</v>
      </c>
      <c r="T1158" t="s">
        <v>487</v>
      </c>
    </row>
    <row r="1159" spans="1:20" x14ac:dyDescent="0.2">
      <c r="A1159" t="s">
        <v>3174</v>
      </c>
      <c r="B1159" t="s">
        <v>3175</v>
      </c>
      <c r="C1159" t="s">
        <v>3176</v>
      </c>
      <c r="D1159" t="s">
        <v>14</v>
      </c>
      <c r="E1159" t="s">
        <v>133</v>
      </c>
      <c r="F1159" t="s">
        <v>133</v>
      </c>
      <c r="G1159" t="s">
        <v>133</v>
      </c>
      <c r="H1159" t="s">
        <v>133</v>
      </c>
      <c r="I1159" t="s">
        <v>133</v>
      </c>
      <c r="K1159" t="s">
        <v>3177</v>
      </c>
      <c r="O1159" t="s">
        <v>161</v>
      </c>
    </row>
    <row r="1160" spans="1:20" x14ac:dyDescent="0.2">
      <c r="A1160" t="s">
        <v>3178</v>
      </c>
      <c r="B1160" t="s">
        <v>3179</v>
      </c>
      <c r="C1160" t="s">
        <v>3180</v>
      </c>
      <c r="D1160" t="s">
        <v>35</v>
      </c>
      <c r="E1160" t="s">
        <v>505</v>
      </c>
      <c r="F1160" t="s">
        <v>133</v>
      </c>
      <c r="G1160" t="s">
        <v>133</v>
      </c>
      <c r="H1160" t="s">
        <v>3181</v>
      </c>
      <c r="I1160" t="s">
        <v>133</v>
      </c>
      <c r="O1160" t="s">
        <v>511</v>
      </c>
      <c r="R1160" t="s">
        <v>1682</v>
      </c>
      <c r="S1160" t="s">
        <v>1683</v>
      </c>
      <c r="T1160" t="s">
        <v>487</v>
      </c>
    </row>
    <row r="1161" spans="1:20" x14ac:dyDescent="0.2">
      <c r="A1161" t="s">
        <v>3178</v>
      </c>
      <c r="B1161" t="s">
        <v>3179</v>
      </c>
      <c r="C1161" t="s">
        <v>3180</v>
      </c>
      <c r="D1161" t="s">
        <v>35</v>
      </c>
      <c r="E1161" t="s">
        <v>505</v>
      </c>
      <c r="F1161" t="s">
        <v>133</v>
      </c>
      <c r="G1161" t="s">
        <v>133</v>
      </c>
      <c r="H1161" t="s">
        <v>1684</v>
      </c>
      <c r="I1161" t="s">
        <v>133</v>
      </c>
      <c r="O1161" t="s">
        <v>511</v>
      </c>
      <c r="R1161" t="s">
        <v>1685</v>
      </c>
      <c r="S1161" t="s">
        <v>1686</v>
      </c>
      <c r="T1161" t="s">
        <v>487</v>
      </c>
    </row>
    <row r="1162" spans="1:20" x14ac:dyDescent="0.2">
      <c r="A1162" t="s">
        <v>3178</v>
      </c>
      <c r="B1162" t="s">
        <v>3179</v>
      </c>
      <c r="C1162" t="s">
        <v>3180</v>
      </c>
      <c r="D1162" t="s">
        <v>61</v>
      </c>
      <c r="E1162" t="s">
        <v>255</v>
      </c>
      <c r="F1162" t="s">
        <v>133</v>
      </c>
      <c r="G1162" t="s">
        <v>133</v>
      </c>
      <c r="H1162" t="s">
        <v>1684</v>
      </c>
      <c r="I1162" t="s">
        <v>133</v>
      </c>
      <c r="K1162" t="s">
        <v>3182</v>
      </c>
      <c r="O1162" t="s">
        <v>511</v>
      </c>
    </row>
    <row r="1163" spans="1:20" x14ac:dyDescent="0.2">
      <c r="A1163" t="s">
        <v>3183</v>
      </c>
      <c r="B1163" t="s">
        <v>3184</v>
      </c>
      <c r="C1163" t="s">
        <v>3185</v>
      </c>
      <c r="D1163" t="s">
        <v>14</v>
      </c>
      <c r="E1163" t="s">
        <v>133</v>
      </c>
      <c r="H1163" t="s">
        <v>1684</v>
      </c>
      <c r="K1163" t="s">
        <v>3186</v>
      </c>
      <c r="L1163" t="s">
        <v>160</v>
      </c>
      <c r="O1163" t="s">
        <v>161</v>
      </c>
      <c r="Q1163" t="s">
        <v>3187</v>
      </c>
    </row>
    <row r="1164" spans="1:20" x14ac:dyDescent="0.2">
      <c r="A1164" t="s">
        <v>3188</v>
      </c>
      <c r="B1164" t="s">
        <v>3189</v>
      </c>
      <c r="C1164" t="s">
        <v>3190</v>
      </c>
      <c r="D1164" t="s">
        <v>14</v>
      </c>
      <c r="E1164" t="s">
        <v>133</v>
      </c>
      <c r="F1164" t="s">
        <v>133</v>
      </c>
      <c r="G1164" t="s">
        <v>133</v>
      </c>
      <c r="H1164" t="s">
        <v>1684</v>
      </c>
      <c r="I1164" t="s">
        <v>133</v>
      </c>
      <c r="K1164" t="s">
        <v>2769</v>
      </c>
      <c r="O1164" t="s">
        <v>161</v>
      </c>
      <c r="Q1164" t="s">
        <v>3191</v>
      </c>
    </row>
    <row r="1165" spans="1:20" x14ac:dyDescent="0.2">
      <c r="A1165" t="s">
        <v>3192</v>
      </c>
      <c r="B1165" t="s">
        <v>3193</v>
      </c>
      <c r="C1165" t="s">
        <v>3194</v>
      </c>
      <c r="D1165" t="s">
        <v>14</v>
      </c>
      <c r="E1165" t="s">
        <v>133</v>
      </c>
      <c r="H1165" t="s">
        <v>1684</v>
      </c>
      <c r="K1165" t="s">
        <v>3195</v>
      </c>
      <c r="L1165" t="s">
        <v>160</v>
      </c>
      <c r="O1165" t="s">
        <v>161</v>
      </c>
    </row>
    <row r="1166" spans="1:20" x14ac:dyDescent="0.2">
      <c r="A1166" t="s">
        <v>3196</v>
      </c>
      <c r="B1166" t="s">
        <v>3197</v>
      </c>
      <c r="C1166" t="s">
        <v>3198</v>
      </c>
      <c r="D1166" t="s">
        <v>14</v>
      </c>
      <c r="E1166" t="s">
        <v>133</v>
      </c>
      <c r="K1166" t="s">
        <v>3199</v>
      </c>
      <c r="L1166" t="s">
        <v>160</v>
      </c>
      <c r="O1166" t="s">
        <v>161</v>
      </c>
    </row>
    <row r="1167" spans="1:20" x14ac:dyDescent="0.2">
      <c r="A1167" t="s">
        <v>3200</v>
      </c>
      <c r="B1167" t="s">
        <v>3201</v>
      </c>
      <c r="C1167" t="s">
        <v>3202</v>
      </c>
      <c r="D1167" t="s">
        <v>14</v>
      </c>
      <c r="E1167" t="s">
        <v>133</v>
      </c>
      <c r="H1167" t="s">
        <v>1684</v>
      </c>
      <c r="K1167" t="s">
        <v>3203</v>
      </c>
      <c r="O1167" t="s">
        <v>161</v>
      </c>
    </row>
    <row r="1168" spans="1:20" x14ac:dyDescent="0.2">
      <c r="A1168" t="s">
        <v>3204</v>
      </c>
      <c r="B1168" t="s">
        <v>3205</v>
      </c>
      <c r="C1168" t="s">
        <v>3206</v>
      </c>
      <c r="D1168" t="s">
        <v>14</v>
      </c>
      <c r="E1168" t="s">
        <v>133</v>
      </c>
      <c r="F1168" t="s">
        <v>133</v>
      </c>
      <c r="G1168" t="s">
        <v>133</v>
      </c>
      <c r="H1168" t="s">
        <v>133</v>
      </c>
      <c r="I1168" t="s">
        <v>133</v>
      </c>
      <c r="K1168" t="s">
        <v>3207</v>
      </c>
      <c r="O1168" t="s">
        <v>161</v>
      </c>
    </row>
    <row r="1169" spans="1:20" x14ac:dyDescent="0.2">
      <c r="A1169" t="s">
        <v>3208</v>
      </c>
      <c r="B1169" t="s">
        <v>3209</v>
      </c>
      <c r="C1169" t="s">
        <v>3210</v>
      </c>
      <c r="D1169" t="s">
        <v>24</v>
      </c>
      <c r="E1169" t="s">
        <v>133</v>
      </c>
      <c r="F1169" t="s">
        <v>133</v>
      </c>
      <c r="G1169" t="s">
        <v>133</v>
      </c>
      <c r="H1169" t="s">
        <v>133</v>
      </c>
      <c r="I1169" t="s">
        <v>133</v>
      </c>
      <c r="O1169" t="s">
        <v>511</v>
      </c>
      <c r="R1169" t="s">
        <v>1674</v>
      </c>
      <c r="S1169" t="s">
        <v>1675</v>
      </c>
      <c r="T1169" t="s">
        <v>487</v>
      </c>
    </row>
    <row r="1170" spans="1:20" x14ac:dyDescent="0.2">
      <c r="A1170" t="s">
        <v>3211</v>
      </c>
      <c r="B1170" t="s">
        <v>3212</v>
      </c>
      <c r="C1170" t="s">
        <v>3213</v>
      </c>
      <c r="D1170" t="s">
        <v>24</v>
      </c>
      <c r="E1170" t="s">
        <v>505</v>
      </c>
      <c r="F1170" t="s">
        <v>133</v>
      </c>
      <c r="G1170" t="s">
        <v>133</v>
      </c>
      <c r="H1170" t="s">
        <v>133</v>
      </c>
      <c r="I1170" t="s">
        <v>133</v>
      </c>
      <c r="O1170" t="s">
        <v>161</v>
      </c>
      <c r="R1170" t="s">
        <v>1219</v>
      </c>
      <c r="S1170" t="s">
        <v>1220</v>
      </c>
      <c r="T1170" t="s">
        <v>487</v>
      </c>
    </row>
    <row r="1171" spans="1:20" x14ac:dyDescent="0.2">
      <c r="A1171" t="s">
        <v>3211</v>
      </c>
      <c r="B1171" t="s">
        <v>3212</v>
      </c>
      <c r="C1171" t="s">
        <v>3213</v>
      </c>
      <c r="D1171" t="s">
        <v>14</v>
      </c>
      <c r="E1171" t="s">
        <v>255</v>
      </c>
      <c r="F1171" t="s">
        <v>133</v>
      </c>
      <c r="G1171" t="s">
        <v>133</v>
      </c>
      <c r="H1171" t="s">
        <v>133</v>
      </c>
      <c r="I1171" t="s">
        <v>133</v>
      </c>
      <c r="K1171" t="s">
        <v>2769</v>
      </c>
      <c r="O1171" t="s">
        <v>161</v>
      </c>
    </row>
    <row r="1172" spans="1:20" x14ac:dyDescent="0.2">
      <c r="A1172" t="s">
        <v>3214</v>
      </c>
      <c r="B1172" t="s">
        <v>3215</v>
      </c>
      <c r="C1172" t="s">
        <v>3216</v>
      </c>
      <c r="D1172" t="s">
        <v>14</v>
      </c>
      <c r="E1172" t="s">
        <v>133</v>
      </c>
      <c r="F1172" t="s">
        <v>133</v>
      </c>
      <c r="G1172" t="s">
        <v>133</v>
      </c>
      <c r="H1172" t="s">
        <v>133</v>
      </c>
      <c r="I1172" t="s">
        <v>133</v>
      </c>
      <c r="K1172" t="s">
        <v>3217</v>
      </c>
      <c r="O1172" t="s">
        <v>161</v>
      </c>
    </row>
    <row r="1173" spans="1:20" x14ac:dyDescent="0.2">
      <c r="A1173" t="s">
        <v>3218</v>
      </c>
      <c r="B1173" t="s">
        <v>3219</v>
      </c>
      <c r="C1173" t="s">
        <v>3220</v>
      </c>
      <c r="D1173" t="s">
        <v>14</v>
      </c>
      <c r="E1173" t="s">
        <v>133</v>
      </c>
      <c r="F1173" t="s">
        <v>133</v>
      </c>
      <c r="G1173" t="s">
        <v>133</v>
      </c>
      <c r="H1173" t="s">
        <v>133</v>
      </c>
      <c r="I1173" t="s">
        <v>133</v>
      </c>
      <c r="K1173" t="s">
        <v>3221</v>
      </c>
      <c r="O1173" t="s">
        <v>161</v>
      </c>
    </row>
    <row r="1174" spans="1:20" x14ac:dyDescent="0.2">
      <c r="A1174" t="s">
        <v>3222</v>
      </c>
      <c r="B1174" t="s">
        <v>3223</v>
      </c>
      <c r="C1174" t="s">
        <v>3224</v>
      </c>
      <c r="D1174" t="s">
        <v>14</v>
      </c>
      <c r="E1174" t="s">
        <v>133</v>
      </c>
      <c r="F1174" t="s">
        <v>133</v>
      </c>
      <c r="G1174" t="s">
        <v>133</v>
      </c>
      <c r="H1174" t="s">
        <v>133</v>
      </c>
      <c r="I1174" t="s">
        <v>133</v>
      </c>
      <c r="K1174" t="s">
        <v>3225</v>
      </c>
      <c r="O1174" t="s">
        <v>161</v>
      </c>
    </row>
    <row r="1175" spans="1:20" x14ac:dyDescent="0.2">
      <c r="A1175" t="s">
        <v>3226</v>
      </c>
      <c r="B1175" t="s">
        <v>3227</v>
      </c>
      <c r="C1175" t="s">
        <v>3228</v>
      </c>
      <c r="D1175" t="s">
        <v>14</v>
      </c>
      <c r="E1175" t="s">
        <v>133</v>
      </c>
      <c r="F1175" t="s">
        <v>133</v>
      </c>
      <c r="G1175" t="s">
        <v>133</v>
      </c>
      <c r="H1175" t="s">
        <v>133</v>
      </c>
      <c r="I1175" t="s">
        <v>133</v>
      </c>
      <c r="K1175" t="s">
        <v>3229</v>
      </c>
      <c r="O1175" t="s">
        <v>161</v>
      </c>
    </row>
    <row r="1176" spans="1:20" x14ac:dyDescent="0.2">
      <c r="A1176" t="s">
        <v>3230</v>
      </c>
      <c r="B1176" t="s">
        <v>3231</v>
      </c>
      <c r="C1176" t="s">
        <v>3232</v>
      </c>
      <c r="D1176" t="s">
        <v>24</v>
      </c>
      <c r="E1176" t="s">
        <v>133</v>
      </c>
      <c r="F1176" t="s">
        <v>133</v>
      </c>
      <c r="G1176" t="s">
        <v>133</v>
      </c>
      <c r="H1176" t="s">
        <v>133</v>
      </c>
      <c r="I1176" t="s">
        <v>133</v>
      </c>
      <c r="O1176" t="s">
        <v>511</v>
      </c>
      <c r="Q1176" t="s">
        <v>3233</v>
      </c>
      <c r="R1176" t="s">
        <v>1004</v>
      </c>
      <c r="S1176" t="s">
        <v>1005</v>
      </c>
      <c r="T1176" t="s">
        <v>487</v>
      </c>
    </row>
    <row r="1177" spans="1:20" x14ac:dyDescent="0.2">
      <c r="A1177" t="s">
        <v>3234</v>
      </c>
      <c r="B1177" t="s">
        <v>3235</v>
      </c>
      <c r="C1177" t="s">
        <v>3236</v>
      </c>
      <c r="D1177" t="s">
        <v>24</v>
      </c>
      <c r="E1177" t="s">
        <v>133</v>
      </c>
      <c r="F1177" t="s">
        <v>133</v>
      </c>
      <c r="G1177" t="s">
        <v>133</v>
      </c>
      <c r="H1177" t="s">
        <v>133</v>
      </c>
      <c r="I1177" t="s">
        <v>133</v>
      </c>
      <c r="O1177" t="s">
        <v>161</v>
      </c>
      <c r="R1177" t="s">
        <v>1689</v>
      </c>
      <c r="S1177" t="s">
        <v>1690</v>
      </c>
      <c r="T1177" t="s">
        <v>487</v>
      </c>
    </row>
    <row r="1178" spans="1:20" x14ac:dyDescent="0.2">
      <c r="A1178" t="s">
        <v>3237</v>
      </c>
      <c r="B1178" t="s">
        <v>3238</v>
      </c>
      <c r="C1178" t="s">
        <v>3239</v>
      </c>
      <c r="D1178" t="s">
        <v>14</v>
      </c>
      <c r="E1178" t="s">
        <v>133</v>
      </c>
      <c r="F1178" t="s">
        <v>133</v>
      </c>
      <c r="G1178" t="s">
        <v>133</v>
      </c>
      <c r="H1178" t="s">
        <v>133</v>
      </c>
      <c r="I1178" t="s">
        <v>133</v>
      </c>
      <c r="K1178" t="s">
        <v>3240</v>
      </c>
      <c r="O1178" t="s">
        <v>161</v>
      </c>
    </row>
    <row r="1179" spans="1:20" x14ac:dyDescent="0.2">
      <c r="A1179" t="s">
        <v>3241</v>
      </c>
      <c r="B1179" t="s">
        <v>3242</v>
      </c>
      <c r="C1179" t="s">
        <v>3243</v>
      </c>
      <c r="D1179" t="s">
        <v>35</v>
      </c>
      <c r="E1179" t="s">
        <v>505</v>
      </c>
      <c r="F1179" t="s">
        <v>133</v>
      </c>
      <c r="G1179" t="s">
        <v>133</v>
      </c>
      <c r="H1179" t="s">
        <v>133</v>
      </c>
      <c r="I1179" t="s">
        <v>133</v>
      </c>
      <c r="O1179" t="s">
        <v>511</v>
      </c>
      <c r="R1179" t="s">
        <v>1692</v>
      </c>
      <c r="S1179" t="s">
        <v>1693</v>
      </c>
      <c r="T1179" t="s">
        <v>487</v>
      </c>
    </row>
    <row r="1180" spans="1:20" x14ac:dyDescent="0.2">
      <c r="A1180" t="s">
        <v>3241</v>
      </c>
      <c r="B1180" t="s">
        <v>3242</v>
      </c>
      <c r="C1180" t="s">
        <v>3243</v>
      </c>
      <c r="D1180" t="s">
        <v>61</v>
      </c>
      <c r="E1180" t="s">
        <v>255</v>
      </c>
      <c r="F1180" t="s">
        <v>133</v>
      </c>
      <c r="G1180" t="s">
        <v>133</v>
      </c>
      <c r="H1180" t="s">
        <v>133</v>
      </c>
      <c r="I1180" t="s">
        <v>133</v>
      </c>
      <c r="K1180" t="s">
        <v>3244</v>
      </c>
      <c r="O1180" t="s">
        <v>511</v>
      </c>
    </row>
    <row r="1181" spans="1:20" x14ac:dyDescent="0.2">
      <c r="A1181" t="s">
        <v>3245</v>
      </c>
      <c r="B1181" t="s">
        <v>3246</v>
      </c>
      <c r="C1181" t="s">
        <v>3247</v>
      </c>
      <c r="D1181" t="s">
        <v>14</v>
      </c>
      <c r="E1181" t="s">
        <v>133</v>
      </c>
      <c r="K1181" t="s">
        <v>3248</v>
      </c>
      <c r="L1181" t="s">
        <v>160</v>
      </c>
      <c r="O1181" t="s">
        <v>161</v>
      </c>
    </row>
    <row r="1182" spans="1:20" x14ac:dyDescent="0.2">
      <c r="A1182" t="s">
        <v>3249</v>
      </c>
      <c r="B1182" t="s">
        <v>3250</v>
      </c>
      <c r="C1182" t="s">
        <v>3251</v>
      </c>
      <c r="D1182" t="s">
        <v>14</v>
      </c>
      <c r="E1182" t="s">
        <v>133</v>
      </c>
      <c r="F1182" t="s">
        <v>133</v>
      </c>
      <c r="G1182" t="s">
        <v>1691</v>
      </c>
      <c r="H1182" t="s">
        <v>133</v>
      </c>
      <c r="I1182" t="s">
        <v>133</v>
      </c>
      <c r="K1182" t="s">
        <v>2769</v>
      </c>
      <c r="O1182" t="s">
        <v>161</v>
      </c>
    </row>
    <row r="1183" spans="1:20" x14ac:dyDescent="0.2">
      <c r="A1183" t="s">
        <v>3252</v>
      </c>
      <c r="B1183" t="s">
        <v>3253</v>
      </c>
      <c r="C1183" t="s">
        <v>3254</v>
      </c>
      <c r="D1183" t="s">
        <v>35</v>
      </c>
      <c r="E1183" t="s">
        <v>133</v>
      </c>
      <c r="F1183" t="s">
        <v>133</v>
      </c>
      <c r="G1183" t="s">
        <v>133</v>
      </c>
      <c r="H1183" t="s">
        <v>133</v>
      </c>
      <c r="I1183" t="s">
        <v>133</v>
      </c>
      <c r="M1183" t="s">
        <v>291</v>
      </c>
      <c r="O1183" t="s">
        <v>161</v>
      </c>
      <c r="T1183" t="s">
        <v>487</v>
      </c>
    </row>
    <row r="1184" spans="1:20" x14ac:dyDescent="0.2">
      <c r="A1184" t="s">
        <v>3255</v>
      </c>
      <c r="B1184" t="s">
        <v>3256</v>
      </c>
      <c r="C1184" t="s">
        <v>3257</v>
      </c>
      <c r="D1184" t="s">
        <v>14</v>
      </c>
      <c r="E1184" t="s">
        <v>133</v>
      </c>
      <c r="F1184" t="s">
        <v>133</v>
      </c>
      <c r="G1184" t="s">
        <v>133</v>
      </c>
      <c r="H1184" t="s">
        <v>133</v>
      </c>
      <c r="I1184" t="s">
        <v>133</v>
      </c>
      <c r="K1184" t="s">
        <v>3258</v>
      </c>
      <c r="O1184" t="s">
        <v>161</v>
      </c>
    </row>
    <row r="1185" spans="1:20" x14ac:dyDescent="0.2">
      <c r="A1185" t="s">
        <v>3259</v>
      </c>
      <c r="B1185" t="s">
        <v>3260</v>
      </c>
      <c r="C1185" t="s">
        <v>3261</v>
      </c>
      <c r="D1185" t="s">
        <v>35</v>
      </c>
      <c r="E1185" t="s">
        <v>505</v>
      </c>
      <c r="F1185" t="s">
        <v>133</v>
      </c>
      <c r="G1185" t="s">
        <v>133</v>
      </c>
      <c r="H1185" t="s">
        <v>3181</v>
      </c>
      <c r="I1185" t="s">
        <v>133</v>
      </c>
      <c r="O1185" t="s">
        <v>511</v>
      </c>
      <c r="R1185" t="s">
        <v>1682</v>
      </c>
      <c r="S1185" t="s">
        <v>1683</v>
      </c>
      <c r="T1185" t="s">
        <v>487</v>
      </c>
    </row>
    <row r="1186" spans="1:20" x14ac:dyDescent="0.2">
      <c r="A1186" t="s">
        <v>3259</v>
      </c>
      <c r="B1186" t="s">
        <v>3260</v>
      </c>
      <c r="C1186" t="s">
        <v>3261</v>
      </c>
      <c r="D1186" t="s">
        <v>35</v>
      </c>
      <c r="E1186" t="s">
        <v>505</v>
      </c>
      <c r="F1186" t="s">
        <v>133</v>
      </c>
      <c r="G1186" t="s">
        <v>133</v>
      </c>
      <c r="H1186" t="s">
        <v>1684</v>
      </c>
      <c r="I1186" t="s">
        <v>133</v>
      </c>
      <c r="O1186" t="s">
        <v>511</v>
      </c>
      <c r="R1186" t="s">
        <v>1685</v>
      </c>
      <c r="S1186" t="s">
        <v>1686</v>
      </c>
      <c r="T1186" t="s">
        <v>487</v>
      </c>
    </row>
    <row r="1187" spans="1:20" x14ac:dyDescent="0.2">
      <c r="A1187" t="s">
        <v>3259</v>
      </c>
      <c r="B1187" t="s">
        <v>3260</v>
      </c>
      <c r="C1187" t="s">
        <v>3261</v>
      </c>
      <c r="D1187" t="s">
        <v>14</v>
      </c>
      <c r="E1187" t="s">
        <v>255</v>
      </c>
      <c r="F1187" t="s">
        <v>133</v>
      </c>
      <c r="G1187" t="s">
        <v>133</v>
      </c>
      <c r="H1187" t="s">
        <v>2864</v>
      </c>
      <c r="I1187" t="s">
        <v>133</v>
      </c>
      <c r="K1187" t="s">
        <v>3262</v>
      </c>
      <c r="O1187" t="s">
        <v>511</v>
      </c>
    </row>
    <row r="1188" spans="1:20" x14ac:dyDescent="0.2">
      <c r="A1188" t="s">
        <v>3263</v>
      </c>
      <c r="B1188" t="s">
        <v>3264</v>
      </c>
      <c r="C1188" t="s">
        <v>3265</v>
      </c>
      <c r="D1188" t="s">
        <v>14</v>
      </c>
      <c r="E1188" t="s">
        <v>133</v>
      </c>
      <c r="H1188" t="s">
        <v>133</v>
      </c>
      <c r="K1188" t="s">
        <v>3266</v>
      </c>
      <c r="L1188" t="s">
        <v>160</v>
      </c>
      <c r="O1188" t="s">
        <v>161</v>
      </c>
    </row>
    <row r="1189" spans="1:20" x14ac:dyDescent="0.2">
      <c r="A1189" t="s">
        <v>3267</v>
      </c>
      <c r="B1189" t="s">
        <v>3268</v>
      </c>
      <c r="C1189" t="s">
        <v>3269</v>
      </c>
      <c r="D1189" t="s">
        <v>14</v>
      </c>
      <c r="E1189" t="s">
        <v>133</v>
      </c>
      <c r="F1189" t="s">
        <v>133</v>
      </c>
      <c r="G1189" t="s">
        <v>133</v>
      </c>
      <c r="H1189" t="s">
        <v>2864</v>
      </c>
      <c r="I1189" t="s">
        <v>133</v>
      </c>
      <c r="K1189" t="s">
        <v>3254</v>
      </c>
      <c r="O1189" t="s">
        <v>161</v>
      </c>
    </row>
    <row r="1190" spans="1:20" x14ac:dyDescent="0.2">
      <c r="A1190" t="s">
        <v>3270</v>
      </c>
      <c r="B1190" t="s">
        <v>3271</v>
      </c>
      <c r="C1190" t="s">
        <v>3272</v>
      </c>
      <c r="D1190" t="s">
        <v>14</v>
      </c>
      <c r="E1190" t="s">
        <v>133</v>
      </c>
      <c r="K1190" t="s">
        <v>3273</v>
      </c>
      <c r="L1190" t="s">
        <v>160</v>
      </c>
      <c r="O1190" t="s">
        <v>161</v>
      </c>
    </row>
    <row r="1191" spans="1:20" x14ac:dyDescent="0.2">
      <c r="A1191" t="s">
        <v>3274</v>
      </c>
      <c r="B1191" t="s">
        <v>3275</v>
      </c>
      <c r="C1191" t="s">
        <v>3276</v>
      </c>
      <c r="D1191" t="s">
        <v>14</v>
      </c>
      <c r="E1191" t="s">
        <v>133</v>
      </c>
      <c r="K1191" t="s">
        <v>3277</v>
      </c>
      <c r="L1191" t="s">
        <v>160</v>
      </c>
      <c r="O1191" t="s">
        <v>161</v>
      </c>
    </row>
    <row r="1192" spans="1:20" x14ac:dyDescent="0.2">
      <c r="A1192" t="s">
        <v>3278</v>
      </c>
      <c r="B1192" t="s">
        <v>3279</v>
      </c>
      <c r="C1192" t="s">
        <v>3280</v>
      </c>
      <c r="D1192" t="s">
        <v>14</v>
      </c>
      <c r="E1192" t="s">
        <v>133</v>
      </c>
      <c r="H1192" t="s">
        <v>1684</v>
      </c>
      <c r="K1192" t="s">
        <v>3281</v>
      </c>
      <c r="O1192" t="s">
        <v>161</v>
      </c>
    </row>
    <row r="1193" spans="1:20" x14ac:dyDescent="0.2">
      <c r="A1193" t="s">
        <v>3282</v>
      </c>
      <c r="B1193" t="s">
        <v>3283</v>
      </c>
      <c r="C1193" t="s">
        <v>3284</v>
      </c>
      <c r="D1193" t="s">
        <v>14</v>
      </c>
      <c r="E1193" t="s">
        <v>133</v>
      </c>
      <c r="F1193" t="s">
        <v>133</v>
      </c>
      <c r="G1193" t="s">
        <v>133</v>
      </c>
      <c r="H1193" t="s">
        <v>133</v>
      </c>
      <c r="I1193" t="s">
        <v>133</v>
      </c>
      <c r="K1193" t="s">
        <v>3285</v>
      </c>
      <c r="O1193" t="s">
        <v>161</v>
      </c>
    </row>
    <row r="1194" spans="1:20" x14ac:dyDescent="0.2">
      <c r="A1194" t="s">
        <v>3286</v>
      </c>
      <c r="B1194" t="s">
        <v>3287</v>
      </c>
      <c r="C1194" t="s">
        <v>3288</v>
      </c>
      <c r="D1194" t="s">
        <v>24</v>
      </c>
      <c r="E1194" t="s">
        <v>133</v>
      </c>
      <c r="F1194" t="s">
        <v>133</v>
      </c>
      <c r="G1194" t="s">
        <v>133</v>
      </c>
      <c r="H1194" t="s">
        <v>133</v>
      </c>
      <c r="I1194" t="s">
        <v>133</v>
      </c>
      <c r="O1194" t="s">
        <v>511</v>
      </c>
      <c r="R1194" t="s">
        <v>1674</v>
      </c>
      <c r="S1194" t="s">
        <v>1675</v>
      </c>
      <c r="T1194" t="s">
        <v>487</v>
      </c>
    </row>
    <row r="1195" spans="1:20" x14ac:dyDescent="0.2">
      <c r="A1195" t="s">
        <v>3289</v>
      </c>
      <c r="B1195" t="s">
        <v>3290</v>
      </c>
      <c r="C1195" t="s">
        <v>3291</v>
      </c>
      <c r="D1195" t="s">
        <v>24</v>
      </c>
      <c r="E1195" t="s">
        <v>505</v>
      </c>
      <c r="F1195" t="s">
        <v>133</v>
      </c>
      <c r="G1195" t="s">
        <v>133</v>
      </c>
      <c r="H1195" t="s">
        <v>133</v>
      </c>
      <c r="I1195" t="s">
        <v>133</v>
      </c>
      <c r="O1195" t="s">
        <v>161</v>
      </c>
      <c r="R1195" t="s">
        <v>1219</v>
      </c>
      <c r="S1195" t="s">
        <v>1220</v>
      </c>
      <c r="T1195" t="s">
        <v>487</v>
      </c>
    </row>
    <row r="1196" spans="1:20" x14ac:dyDescent="0.2">
      <c r="A1196" t="s">
        <v>3289</v>
      </c>
      <c r="B1196" t="s">
        <v>3290</v>
      </c>
      <c r="C1196" t="s">
        <v>3291</v>
      </c>
      <c r="D1196" t="s">
        <v>14</v>
      </c>
      <c r="E1196" t="s">
        <v>255</v>
      </c>
      <c r="F1196" t="s">
        <v>133</v>
      </c>
      <c r="G1196" t="s">
        <v>133</v>
      </c>
      <c r="H1196" t="s">
        <v>133</v>
      </c>
      <c r="I1196" t="s">
        <v>133</v>
      </c>
      <c r="K1196" t="s">
        <v>3254</v>
      </c>
      <c r="O1196" t="s">
        <v>161</v>
      </c>
    </row>
    <row r="1197" spans="1:20" x14ac:dyDescent="0.2">
      <c r="A1197" t="s">
        <v>3292</v>
      </c>
      <c r="B1197" t="s">
        <v>3293</v>
      </c>
      <c r="C1197" t="s">
        <v>3294</v>
      </c>
      <c r="D1197" t="s">
        <v>14</v>
      </c>
      <c r="E1197" t="s">
        <v>133</v>
      </c>
      <c r="F1197" t="s">
        <v>133</v>
      </c>
      <c r="G1197" t="s">
        <v>133</v>
      </c>
      <c r="H1197" t="s">
        <v>133</v>
      </c>
      <c r="I1197" t="s">
        <v>133</v>
      </c>
      <c r="K1197" t="s">
        <v>3295</v>
      </c>
      <c r="O1197" t="s">
        <v>161</v>
      </c>
    </row>
    <row r="1198" spans="1:20" x14ac:dyDescent="0.2">
      <c r="A1198" t="s">
        <v>3296</v>
      </c>
      <c r="B1198" t="s">
        <v>3297</v>
      </c>
      <c r="C1198" t="s">
        <v>3298</v>
      </c>
      <c r="D1198" t="s">
        <v>14</v>
      </c>
      <c r="E1198" t="s">
        <v>133</v>
      </c>
      <c r="F1198" t="s">
        <v>133</v>
      </c>
      <c r="G1198" t="s">
        <v>133</v>
      </c>
      <c r="H1198" t="s">
        <v>133</v>
      </c>
      <c r="I1198" t="s">
        <v>133</v>
      </c>
      <c r="K1198" t="s">
        <v>3299</v>
      </c>
      <c r="O1198" t="s">
        <v>161</v>
      </c>
    </row>
    <row r="1199" spans="1:20" x14ac:dyDescent="0.2">
      <c r="A1199" t="s">
        <v>3300</v>
      </c>
      <c r="B1199" t="s">
        <v>3301</v>
      </c>
      <c r="C1199" t="s">
        <v>3302</v>
      </c>
      <c r="D1199" t="s">
        <v>14</v>
      </c>
      <c r="E1199" t="s">
        <v>133</v>
      </c>
      <c r="F1199" t="s">
        <v>133</v>
      </c>
      <c r="G1199" t="s">
        <v>133</v>
      </c>
      <c r="H1199" t="s">
        <v>133</v>
      </c>
      <c r="I1199" t="s">
        <v>133</v>
      </c>
      <c r="K1199" t="s">
        <v>3303</v>
      </c>
      <c r="O1199" t="s">
        <v>161</v>
      </c>
    </row>
    <row r="1200" spans="1:20" x14ac:dyDescent="0.2">
      <c r="A1200" t="s">
        <v>3304</v>
      </c>
      <c r="B1200" t="s">
        <v>3305</v>
      </c>
      <c r="C1200" t="s">
        <v>3306</v>
      </c>
      <c r="D1200" t="s">
        <v>35</v>
      </c>
      <c r="E1200" t="s">
        <v>505</v>
      </c>
      <c r="F1200" t="s">
        <v>133</v>
      </c>
      <c r="G1200" t="s">
        <v>133</v>
      </c>
      <c r="H1200" t="s">
        <v>133</v>
      </c>
      <c r="I1200" t="s">
        <v>133</v>
      </c>
      <c r="O1200" t="s">
        <v>511</v>
      </c>
      <c r="R1200" t="s">
        <v>1680</v>
      </c>
      <c r="S1200" t="s">
        <v>1658</v>
      </c>
      <c r="T1200" t="s">
        <v>487</v>
      </c>
    </row>
    <row r="1201" spans="1:20" x14ac:dyDescent="0.2">
      <c r="A1201" t="s">
        <v>3304</v>
      </c>
      <c r="B1201" t="s">
        <v>3305</v>
      </c>
      <c r="C1201" t="s">
        <v>3306</v>
      </c>
      <c r="D1201" t="s">
        <v>61</v>
      </c>
      <c r="E1201" t="s">
        <v>255</v>
      </c>
      <c r="F1201" t="s">
        <v>133</v>
      </c>
      <c r="G1201" t="s">
        <v>133</v>
      </c>
      <c r="H1201" t="s">
        <v>133</v>
      </c>
      <c r="I1201" t="s">
        <v>133</v>
      </c>
      <c r="K1201" t="s">
        <v>3307</v>
      </c>
      <c r="O1201" t="s">
        <v>511</v>
      </c>
      <c r="R1201" t="s">
        <v>1680</v>
      </c>
      <c r="S1201" t="s">
        <v>1658</v>
      </c>
    </row>
    <row r="1202" spans="1:20" x14ac:dyDescent="0.2">
      <c r="A1202" t="s">
        <v>3308</v>
      </c>
      <c r="B1202" t="s">
        <v>3309</v>
      </c>
      <c r="C1202" t="s">
        <v>3310</v>
      </c>
      <c r="D1202" t="s">
        <v>14</v>
      </c>
      <c r="E1202" t="s">
        <v>133</v>
      </c>
      <c r="K1202" t="s">
        <v>3311</v>
      </c>
      <c r="L1202" t="s">
        <v>160</v>
      </c>
      <c r="O1202" t="s">
        <v>161</v>
      </c>
      <c r="R1202" t="s">
        <v>1680</v>
      </c>
      <c r="S1202" t="s">
        <v>1658</v>
      </c>
    </row>
    <row r="1203" spans="1:20" x14ac:dyDescent="0.2">
      <c r="A1203" t="s">
        <v>3312</v>
      </c>
      <c r="B1203" t="s">
        <v>3313</v>
      </c>
      <c r="C1203" t="s">
        <v>3314</v>
      </c>
      <c r="D1203" t="s">
        <v>14</v>
      </c>
      <c r="E1203" t="s">
        <v>133</v>
      </c>
      <c r="F1203" t="s">
        <v>133</v>
      </c>
      <c r="G1203" t="s">
        <v>133</v>
      </c>
      <c r="H1203" t="s">
        <v>133</v>
      </c>
      <c r="I1203" t="s">
        <v>133</v>
      </c>
      <c r="K1203" t="s">
        <v>3315</v>
      </c>
      <c r="O1203" t="s">
        <v>161</v>
      </c>
      <c r="R1203" t="s">
        <v>1680</v>
      </c>
      <c r="S1203" t="s">
        <v>1658</v>
      </c>
    </row>
    <row r="1204" spans="1:20" x14ac:dyDescent="0.2">
      <c r="A1204" t="s">
        <v>3316</v>
      </c>
      <c r="B1204" t="s">
        <v>3317</v>
      </c>
      <c r="C1204" t="s">
        <v>3318</v>
      </c>
      <c r="D1204" t="s">
        <v>14</v>
      </c>
      <c r="E1204" t="s">
        <v>133</v>
      </c>
      <c r="K1204" t="s">
        <v>3319</v>
      </c>
      <c r="O1204" t="s">
        <v>161</v>
      </c>
      <c r="R1204" t="s">
        <v>1680</v>
      </c>
      <c r="S1204" t="s">
        <v>1658</v>
      </c>
    </row>
    <row r="1205" spans="1:20" x14ac:dyDescent="0.2">
      <c r="A1205" t="s">
        <v>3320</v>
      </c>
      <c r="B1205" t="s">
        <v>3321</v>
      </c>
      <c r="C1205" t="s">
        <v>3322</v>
      </c>
      <c r="D1205" t="s">
        <v>24</v>
      </c>
      <c r="E1205" t="s">
        <v>133</v>
      </c>
      <c r="O1205" t="s">
        <v>150</v>
      </c>
      <c r="Q1205" t="s">
        <v>3323</v>
      </c>
      <c r="R1205" t="s">
        <v>1680</v>
      </c>
      <c r="S1205" t="s">
        <v>1658</v>
      </c>
      <c r="T1205" t="s">
        <v>487</v>
      </c>
    </row>
    <row r="1206" spans="1:20" x14ac:dyDescent="0.2">
      <c r="A1206" t="s">
        <v>3324</v>
      </c>
      <c r="B1206" t="s">
        <v>3325</v>
      </c>
      <c r="C1206" t="s">
        <v>3326</v>
      </c>
      <c r="D1206" t="s">
        <v>24</v>
      </c>
      <c r="E1206" t="s">
        <v>133</v>
      </c>
      <c r="O1206" t="s">
        <v>150</v>
      </c>
      <c r="Q1206" t="s">
        <v>3327</v>
      </c>
      <c r="R1206" t="s">
        <v>1680</v>
      </c>
      <c r="S1206" t="s">
        <v>1658</v>
      </c>
      <c r="T1206" t="s">
        <v>487</v>
      </c>
    </row>
    <row r="1207" spans="1:20" x14ac:dyDescent="0.2">
      <c r="A1207" t="s">
        <v>3328</v>
      </c>
      <c r="B1207" t="s">
        <v>3329</v>
      </c>
      <c r="C1207" t="s">
        <v>3330</v>
      </c>
      <c r="D1207" t="s">
        <v>14</v>
      </c>
      <c r="E1207" t="s">
        <v>133</v>
      </c>
      <c r="K1207" t="s">
        <v>3331</v>
      </c>
      <c r="O1207" t="s">
        <v>161</v>
      </c>
      <c r="R1207" t="s">
        <v>1680</v>
      </c>
      <c r="S1207" t="s">
        <v>1658</v>
      </c>
    </row>
    <row r="1208" spans="1:20" x14ac:dyDescent="0.2">
      <c r="A1208" t="s">
        <v>3332</v>
      </c>
      <c r="B1208" t="s">
        <v>3333</v>
      </c>
      <c r="C1208" t="s">
        <v>3334</v>
      </c>
      <c r="D1208" t="s">
        <v>24</v>
      </c>
      <c r="E1208" t="s">
        <v>133</v>
      </c>
      <c r="O1208" t="s">
        <v>511</v>
      </c>
      <c r="Q1208" t="s">
        <v>3335</v>
      </c>
      <c r="R1208" t="s">
        <v>1680</v>
      </c>
      <c r="S1208" t="s">
        <v>1658</v>
      </c>
      <c r="T1208" t="s">
        <v>487</v>
      </c>
    </row>
    <row r="1209" spans="1:20" x14ac:dyDescent="0.2">
      <c r="A1209" t="s">
        <v>3336</v>
      </c>
      <c r="B1209" t="s">
        <v>3337</v>
      </c>
      <c r="C1209" t="s">
        <v>3338</v>
      </c>
      <c r="D1209" t="s">
        <v>24</v>
      </c>
      <c r="E1209" t="s">
        <v>133</v>
      </c>
      <c r="O1209" t="s">
        <v>161</v>
      </c>
      <c r="Q1209" t="s">
        <v>3339</v>
      </c>
      <c r="R1209" t="s">
        <v>1680</v>
      </c>
      <c r="S1209" t="s">
        <v>1658</v>
      </c>
      <c r="T1209" t="s">
        <v>487</v>
      </c>
    </row>
    <row r="1210" spans="1:20" x14ac:dyDescent="0.2">
      <c r="A1210" t="s">
        <v>3340</v>
      </c>
      <c r="B1210" t="s">
        <v>3341</v>
      </c>
      <c r="C1210" t="s">
        <v>3342</v>
      </c>
      <c r="D1210" t="s">
        <v>24</v>
      </c>
      <c r="E1210" t="s">
        <v>133</v>
      </c>
      <c r="O1210" t="s">
        <v>511</v>
      </c>
      <c r="Q1210" t="s">
        <v>3343</v>
      </c>
      <c r="R1210" t="s">
        <v>1680</v>
      </c>
      <c r="S1210" t="s">
        <v>1658</v>
      </c>
      <c r="T1210" t="s">
        <v>487</v>
      </c>
    </row>
    <row r="1211" spans="1:20" x14ac:dyDescent="0.2">
      <c r="A1211" t="s">
        <v>3344</v>
      </c>
      <c r="B1211" t="s">
        <v>3345</v>
      </c>
      <c r="C1211" t="s">
        <v>3346</v>
      </c>
      <c r="D1211" t="s">
        <v>14</v>
      </c>
      <c r="E1211" t="s">
        <v>133</v>
      </c>
      <c r="F1211" t="s">
        <v>133</v>
      </c>
      <c r="G1211" t="s">
        <v>133</v>
      </c>
      <c r="H1211" t="s">
        <v>133</v>
      </c>
      <c r="I1211" t="s">
        <v>133</v>
      </c>
      <c r="K1211" t="s">
        <v>3347</v>
      </c>
      <c r="O1211" t="s">
        <v>161</v>
      </c>
      <c r="R1211" t="s">
        <v>1680</v>
      </c>
      <c r="S1211" t="s">
        <v>1658</v>
      </c>
    </row>
    <row r="1212" spans="1:20" x14ac:dyDescent="0.2">
      <c r="A1212" t="s">
        <v>3348</v>
      </c>
      <c r="B1212" t="s">
        <v>3349</v>
      </c>
      <c r="C1212" t="s">
        <v>3350</v>
      </c>
      <c r="D1212" t="s">
        <v>14</v>
      </c>
      <c r="E1212" t="s">
        <v>133</v>
      </c>
      <c r="K1212" t="s">
        <v>3351</v>
      </c>
      <c r="O1212" t="s">
        <v>161</v>
      </c>
      <c r="R1212" t="s">
        <v>1680</v>
      </c>
      <c r="S1212" t="s">
        <v>1658</v>
      </c>
    </row>
    <row r="1213" spans="1:20" x14ac:dyDescent="0.2">
      <c r="A1213" t="s">
        <v>3352</v>
      </c>
      <c r="B1213" t="s">
        <v>3353</v>
      </c>
      <c r="C1213" t="s">
        <v>3354</v>
      </c>
      <c r="D1213" t="s">
        <v>24</v>
      </c>
      <c r="E1213" t="s">
        <v>133</v>
      </c>
      <c r="O1213" t="s">
        <v>150</v>
      </c>
      <c r="Q1213" t="s">
        <v>3355</v>
      </c>
      <c r="R1213" t="s">
        <v>1680</v>
      </c>
      <c r="S1213" t="s">
        <v>1658</v>
      </c>
      <c r="T1213" t="s">
        <v>487</v>
      </c>
    </row>
    <row r="1214" spans="1:20" x14ac:dyDescent="0.2">
      <c r="A1214" t="s">
        <v>3356</v>
      </c>
      <c r="B1214" t="s">
        <v>3357</v>
      </c>
      <c r="C1214" t="s">
        <v>3358</v>
      </c>
      <c r="D1214" t="s">
        <v>14</v>
      </c>
      <c r="E1214" t="s">
        <v>133</v>
      </c>
      <c r="K1214" t="s">
        <v>3359</v>
      </c>
      <c r="O1214" t="s">
        <v>161</v>
      </c>
      <c r="R1214" t="s">
        <v>1680</v>
      </c>
      <c r="S1214" t="s">
        <v>1658</v>
      </c>
    </row>
    <row r="1215" spans="1:20" x14ac:dyDescent="0.2">
      <c r="A1215" t="s">
        <v>3360</v>
      </c>
      <c r="B1215" t="s">
        <v>3361</v>
      </c>
      <c r="C1215" t="s">
        <v>3362</v>
      </c>
      <c r="D1215" t="s">
        <v>24</v>
      </c>
      <c r="E1215" t="s">
        <v>133</v>
      </c>
      <c r="O1215" t="s">
        <v>161</v>
      </c>
      <c r="Q1215" t="s">
        <v>3363</v>
      </c>
      <c r="R1215" t="s">
        <v>1680</v>
      </c>
      <c r="S1215" t="s">
        <v>1658</v>
      </c>
      <c r="T1215" t="s">
        <v>487</v>
      </c>
    </row>
    <row r="1216" spans="1:20" x14ac:dyDescent="0.2">
      <c r="A1216" t="s">
        <v>3364</v>
      </c>
      <c r="B1216" t="s">
        <v>3365</v>
      </c>
      <c r="C1216" t="s">
        <v>3366</v>
      </c>
      <c r="D1216" t="s">
        <v>24</v>
      </c>
      <c r="E1216" t="s">
        <v>133</v>
      </c>
      <c r="O1216" t="s">
        <v>511</v>
      </c>
      <c r="Q1216" t="s">
        <v>3367</v>
      </c>
      <c r="R1216" t="s">
        <v>1680</v>
      </c>
      <c r="S1216" t="s">
        <v>1658</v>
      </c>
      <c r="T1216" t="s">
        <v>487</v>
      </c>
    </row>
    <row r="1217" spans="1:20" x14ac:dyDescent="0.2">
      <c r="A1217" t="s">
        <v>3368</v>
      </c>
      <c r="B1217" t="s">
        <v>3369</v>
      </c>
      <c r="C1217" t="s">
        <v>3370</v>
      </c>
      <c r="D1217" t="s">
        <v>14</v>
      </c>
      <c r="E1217" t="s">
        <v>133</v>
      </c>
      <c r="F1217" t="s">
        <v>133</v>
      </c>
      <c r="G1217" t="s">
        <v>133</v>
      </c>
      <c r="H1217" t="s">
        <v>133</v>
      </c>
      <c r="I1217" t="s">
        <v>133</v>
      </c>
      <c r="K1217" t="s">
        <v>3371</v>
      </c>
      <c r="O1217" t="s">
        <v>161</v>
      </c>
      <c r="R1217" t="s">
        <v>1680</v>
      </c>
      <c r="S1217" t="s">
        <v>1658</v>
      </c>
    </row>
    <row r="1218" spans="1:20" x14ac:dyDescent="0.2">
      <c r="A1218" t="s">
        <v>3372</v>
      </c>
      <c r="B1218" t="s">
        <v>3373</v>
      </c>
      <c r="C1218" t="s">
        <v>3374</v>
      </c>
      <c r="D1218" t="s">
        <v>14</v>
      </c>
      <c r="E1218" t="s">
        <v>133</v>
      </c>
      <c r="K1218" t="s">
        <v>3375</v>
      </c>
      <c r="O1218" t="s">
        <v>161</v>
      </c>
      <c r="R1218" t="s">
        <v>1680</v>
      </c>
      <c r="S1218" t="s">
        <v>1658</v>
      </c>
    </row>
    <row r="1219" spans="1:20" x14ac:dyDescent="0.2">
      <c r="A1219" t="s">
        <v>3376</v>
      </c>
      <c r="B1219" t="s">
        <v>3377</v>
      </c>
      <c r="C1219" t="s">
        <v>3378</v>
      </c>
      <c r="D1219" t="s">
        <v>24</v>
      </c>
      <c r="E1219" t="s">
        <v>133</v>
      </c>
      <c r="O1219" t="s">
        <v>150</v>
      </c>
      <c r="Q1219" t="s">
        <v>3379</v>
      </c>
      <c r="R1219" t="s">
        <v>1680</v>
      </c>
      <c r="S1219" t="s">
        <v>1658</v>
      </c>
      <c r="T1219" t="s">
        <v>487</v>
      </c>
    </row>
    <row r="1220" spans="1:20" x14ac:dyDescent="0.2">
      <c r="A1220" t="s">
        <v>3380</v>
      </c>
      <c r="B1220" t="s">
        <v>3381</v>
      </c>
      <c r="C1220" t="s">
        <v>3382</v>
      </c>
      <c r="D1220" t="s">
        <v>14</v>
      </c>
      <c r="E1220" t="s">
        <v>133</v>
      </c>
      <c r="K1220" t="s">
        <v>3383</v>
      </c>
      <c r="O1220" t="s">
        <v>161</v>
      </c>
      <c r="R1220" t="s">
        <v>1680</v>
      </c>
      <c r="S1220" t="s">
        <v>1658</v>
      </c>
    </row>
    <row r="1221" spans="1:20" x14ac:dyDescent="0.2">
      <c r="A1221" t="s">
        <v>3384</v>
      </c>
      <c r="B1221" t="s">
        <v>3385</v>
      </c>
      <c r="C1221" t="s">
        <v>3386</v>
      </c>
      <c r="D1221" t="s">
        <v>24</v>
      </c>
      <c r="E1221" t="s">
        <v>133</v>
      </c>
      <c r="O1221" t="s">
        <v>511</v>
      </c>
      <c r="Q1221" t="s">
        <v>3387</v>
      </c>
      <c r="R1221" t="s">
        <v>1680</v>
      </c>
      <c r="S1221" t="s">
        <v>1658</v>
      </c>
      <c r="T1221" t="s">
        <v>487</v>
      </c>
    </row>
    <row r="1222" spans="1:20" x14ac:dyDescent="0.2">
      <c r="A1222" t="s">
        <v>3388</v>
      </c>
      <c r="B1222" t="s">
        <v>3389</v>
      </c>
      <c r="C1222" t="s">
        <v>3390</v>
      </c>
      <c r="D1222" t="s">
        <v>24</v>
      </c>
      <c r="E1222" t="s">
        <v>133</v>
      </c>
      <c r="O1222" t="s">
        <v>511</v>
      </c>
      <c r="Q1222" t="s">
        <v>3391</v>
      </c>
      <c r="R1222" t="s">
        <v>1680</v>
      </c>
      <c r="S1222" t="s">
        <v>1658</v>
      </c>
      <c r="T1222" t="s">
        <v>487</v>
      </c>
    </row>
    <row r="1223" spans="1:20" x14ac:dyDescent="0.2">
      <c r="A1223" t="s">
        <v>3392</v>
      </c>
      <c r="B1223" t="s">
        <v>3393</v>
      </c>
      <c r="C1223" t="s">
        <v>3394</v>
      </c>
      <c r="D1223" t="s">
        <v>14</v>
      </c>
      <c r="E1223" t="s">
        <v>133</v>
      </c>
      <c r="F1223" t="s">
        <v>133</v>
      </c>
      <c r="G1223" t="s">
        <v>133</v>
      </c>
      <c r="H1223" t="s">
        <v>133</v>
      </c>
      <c r="I1223" t="s">
        <v>133</v>
      </c>
      <c r="K1223" t="s">
        <v>3395</v>
      </c>
      <c r="O1223" t="s">
        <v>161</v>
      </c>
      <c r="R1223" t="s">
        <v>1680</v>
      </c>
      <c r="S1223" t="s">
        <v>1658</v>
      </c>
    </row>
    <row r="1224" spans="1:20" x14ac:dyDescent="0.2">
      <c r="A1224" t="s">
        <v>3396</v>
      </c>
      <c r="B1224" t="s">
        <v>3397</v>
      </c>
      <c r="C1224" t="s">
        <v>3398</v>
      </c>
      <c r="D1224" t="s">
        <v>14</v>
      </c>
      <c r="E1224" t="s">
        <v>133</v>
      </c>
      <c r="K1224" t="s">
        <v>3399</v>
      </c>
      <c r="O1224" t="s">
        <v>161</v>
      </c>
      <c r="R1224" t="s">
        <v>1680</v>
      </c>
      <c r="S1224" t="s">
        <v>1658</v>
      </c>
    </row>
    <row r="1225" spans="1:20" x14ac:dyDescent="0.2">
      <c r="A1225" t="s">
        <v>3400</v>
      </c>
      <c r="B1225" t="s">
        <v>3401</v>
      </c>
      <c r="C1225" t="s">
        <v>3402</v>
      </c>
      <c r="D1225" t="s">
        <v>24</v>
      </c>
      <c r="E1225" t="s">
        <v>133</v>
      </c>
      <c r="O1225" t="s">
        <v>150</v>
      </c>
      <c r="Q1225" t="s">
        <v>3403</v>
      </c>
      <c r="R1225" t="s">
        <v>1680</v>
      </c>
      <c r="S1225" t="s">
        <v>1658</v>
      </c>
      <c r="T1225" t="s">
        <v>487</v>
      </c>
    </row>
    <row r="1226" spans="1:20" x14ac:dyDescent="0.2">
      <c r="A1226" t="s">
        <v>3404</v>
      </c>
      <c r="B1226" t="s">
        <v>3405</v>
      </c>
      <c r="C1226" t="s">
        <v>3406</v>
      </c>
      <c r="D1226" t="s">
        <v>14</v>
      </c>
      <c r="E1226" t="s">
        <v>133</v>
      </c>
      <c r="K1226" t="s">
        <v>3407</v>
      </c>
      <c r="O1226" t="s">
        <v>161</v>
      </c>
      <c r="R1226" t="s">
        <v>1680</v>
      </c>
      <c r="S1226" t="s">
        <v>1658</v>
      </c>
    </row>
    <row r="1227" spans="1:20" x14ac:dyDescent="0.2">
      <c r="A1227" t="s">
        <v>3408</v>
      </c>
      <c r="B1227" t="s">
        <v>3409</v>
      </c>
      <c r="C1227" t="s">
        <v>3410</v>
      </c>
      <c r="D1227" t="s">
        <v>24</v>
      </c>
      <c r="E1227" t="s">
        <v>133</v>
      </c>
      <c r="O1227" t="s">
        <v>161</v>
      </c>
      <c r="Q1227" t="s">
        <v>3411</v>
      </c>
      <c r="R1227" t="s">
        <v>1680</v>
      </c>
      <c r="S1227" t="s">
        <v>1658</v>
      </c>
      <c r="T1227" t="s">
        <v>487</v>
      </c>
    </row>
    <row r="1228" spans="1:20" x14ac:dyDescent="0.2">
      <c r="A1228" t="s">
        <v>3412</v>
      </c>
      <c r="B1228" t="s">
        <v>3413</v>
      </c>
      <c r="C1228" t="s">
        <v>3414</v>
      </c>
      <c r="D1228" t="s">
        <v>24</v>
      </c>
      <c r="E1228" t="s">
        <v>133</v>
      </c>
      <c r="O1228" t="s">
        <v>511</v>
      </c>
      <c r="Q1228" t="s">
        <v>3415</v>
      </c>
      <c r="R1228" t="s">
        <v>1680</v>
      </c>
      <c r="S1228" t="s">
        <v>1658</v>
      </c>
      <c r="T1228" t="s">
        <v>487</v>
      </c>
    </row>
    <row r="1229" spans="1:20" x14ac:dyDescent="0.2">
      <c r="A1229" t="s">
        <v>3416</v>
      </c>
      <c r="B1229" t="s">
        <v>3417</v>
      </c>
      <c r="C1229" t="s">
        <v>3418</v>
      </c>
      <c r="D1229" t="s">
        <v>14</v>
      </c>
      <c r="E1229" t="s">
        <v>133</v>
      </c>
      <c r="F1229" t="s">
        <v>133</v>
      </c>
      <c r="G1229" t="s">
        <v>133</v>
      </c>
      <c r="H1229" t="s">
        <v>133</v>
      </c>
      <c r="I1229" t="s">
        <v>133</v>
      </c>
      <c r="K1229" t="s">
        <v>3419</v>
      </c>
      <c r="O1229" t="s">
        <v>161</v>
      </c>
    </row>
    <row r="1230" spans="1:20" x14ac:dyDescent="0.2">
      <c r="A1230" t="s">
        <v>3420</v>
      </c>
      <c r="B1230" t="s">
        <v>3421</v>
      </c>
      <c r="C1230" t="s">
        <v>3422</v>
      </c>
      <c r="D1230" t="s">
        <v>14</v>
      </c>
      <c r="E1230" t="s">
        <v>133</v>
      </c>
      <c r="F1230" t="s">
        <v>133</v>
      </c>
      <c r="G1230" t="s">
        <v>133</v>
      </c>
      <c r="H1230" t="s">
        <v>133</v>
      </c>
      <c r="I1230" t="s">
        <v>133</v>
      </c>
      <c r="K1230" t="s">
        <v>3423</v>
      </c>
      <c r="O1230" t="s">
        <v>161</v>
      </c>
    </row>
    <row r="1231" spans="1:20" x14ac:dyDescent="0.2">
      <c r="A1231" t="s">
        <v>3424</v>
      </c>
      <c r="B1231" t="s">
        <v>3425</v>
      </c>
      <c r="C1231" t="s">
        <v>3426</v>
      </c>
      <c r="D1231" t="s">
        <v>35</v>
      </c>
      <c r="E1231" t="s">
        <v>133</v>
      </c>
      <c r="O1231" t="s">
        <v>161</v>
      </c>
      <c r="Q1231" t="s">
        <v>3427</v>
      </c>
      <c r="R1231" t="s">
        <v>1004</v>
      </c>
      <c r="S1231" t="s">
        <v>1005</v>
      </c>
      <c r="T1231" t="s">
        <v>487</v>
      </c>
    </row>
    <row r="1232" spans="1:20" x14ac:dyDescent="0.2">
      <c r="A1232" t="s">
        <v>3428</v>
      </c>
      <c r="B1232" t="s">
        <v>3429</v>
      </c>
      <c r="C1232" t="s">
        <v>3430</v>
      </c>
      <c r="D1232" t="s">
        <v>24</v>
      </c>
      <c r="E1232" t="s">
        <v>133</v>
      </c>
      <c r="F1232" t="s">
        <v>133</v>
      </c>
      <c r="G1232" t="s">
        <v>133</v>
      </c>
      <c r="H1232" t="s">
        <v>133</v>
      </c>
      <c r="I1232" t="s">
        <v>133</v>
      </c>
      <c r="O1232" t="s">
        <v>161</v>
      </c>
      <c r="R1232" t="s">
        <v>1689</v>
      </c>
      <c r="S1232" t="s">
        <v>1690</v>
      </c>
      <c r="T1232" t="s">
        <v>487</v>
      </c>
    </row>
    <row r="1233" spans="1:20" x14ac:dyDescent="0.2">
      <c r="A1233" t="s">
        <v>3431</v>
      </c>
      <c r="B1233" t="s">
        <v>3432</v>
      </c>
      <c r="C1233" t="s">
        <v>3433</v>
      </c>
      <c r="D1233" t="s">
        <v>14</v>
      </c>
      <c r="E1233" t="s">
        <v>133</v>
      </c>
      <c r="F1233" t="s">
        <v>133</v>
      </c>
      <c r="G1233" t="s">
        <v>133</v>
      </c>
      <c r="H1233" t="s">
        <v>133</v>
      </c>
      <c r="I1233" t="s">
        <v>133</v>
      </c>
      <c r="K1233" t="s">
        <v>3434</v>
      </c>
      <c r="O1233" t="s">
        <v>161</v>
      </c>
    </row>
    <row r="1234" spans="1:20" x14ac:dyDescent="0.2">
      <c r="A1234" t="s">
        <v>3435</v>
      </c>
      <c r="B1234" t="s">
        <v>3436</v>
      </c>
      <c r="C1234" t="s">
        <v>3437</v>
      </c>
      <c r="D1234" t="s">
        <v>35</v>
      </c>
      <c r="E1234" t="s">
        <v>505</v>
      </c>
      <c r="F1234" t="s">
        <v>133</v>
      </c>
      <c r="G1234" t="s">
        <v>133</v>
      </c>
      <c r="H1234" t="s">
        <v>133</v>
      </c>
      <c r="I1234" t="s">
        <v>133</v>
      </c>
      <c r="O1234" t="s">
        <v>511</v>
      </c>
      <c r="R1234" t="s">
        <v>1692</v>
      </c>
      <c r="S1234" t="s">
        <v>1693</v>
      </c>
      <c r="T1234" t="s">
        <v>487</v>
      </c>
    </row>
    <row r="1235" spans="1:20" x14ac:dyDescent="0.2">
      <c r="A1235" t="s">
        <v>3435</v>
      </c>
      <c r="B1235" t="s">
        <v>3436</v>
      </c>
      <c r="C1235" t="s">
        <v>3437</v>
      </c>
      <c r="D1235" t="s">
        <v>61</v>
      </c>
      <c r="E1235" t="s">
        <v>255</v>
      </c>
      <c r="F1235" t="s">
        <v>133</v>
      </c>
      <c r="G1235" t="s">
        <v>133</v>
      </c>
      <c r="H1235" t="s">
        <v>133</v>
      </c>
      <c r="I1235" t="s">
        <v>133</v>
      </c>
      <c r="K1235" t="s">
        <v>3438</v>
      </c>
      <c r="O1235" t="s">
        <v>511</v>
      </c>
    </row>
    <row r="1236" spans="1:20" x14ac:dyDescent="0.2">
      <c r="A1236" t="s">
        <v>3439</v>
      </c>
      <c r="B1236" t="s">
        <v>3440</v>
      </c>
      <c r="C1236" t="s">
        <v>3441</v>
      </c>
      <c r="D1236" t="s">
        <v>14</v>
      </c>
      <c r="E1236" t="s">
        <v>133</v>
      </c>
      <c r="K1236" t="s">
        <v>3442</v>
      </c>
      <c r="L1236" t="s">
        <v>160</v>
      </c>
      <c r="O1236" t="s">
        <v>161</v>
      </c>
    </row>
    <row r="1237" spans="1:20" x14ac:dyDescent="0.2">
      <c r="A1237" t="s">
        <v>3443</v>
      </c>
      <c r="B1237" t="s">
        <v>3444</v>
      </c>
      <c r="C1237" t="s">
        <v>3445</v>
      </c>
      <c r="D1237" t="s">
        <v>14</v>
      </c>
      <c r="E1237" t="s">
        <v>133</v>
      </c>
      <c r="F1237" t="s">
        <v>133</v>
      </c>
      <c r="G1237" t="s">
        <v>1691</v>
      </c>
      <c r="H1237" t="s">
        <v>133</v>
      </c>
      <c r="I1237" t="s">
        <v>133</v>
      </c>
      <c r="K1237" t="s">
        <v>3315</v>
      </c>
      <c r="O1237" t="s">
        <v>161</v>
      </c>
    </row>
    <row r="1238" spans="1:20" x14ac:dyDescent="0.2">
      <c r="A1238" t="s">
        <v>3446</v>
      </c>
      <c r="B1238" t="s">
        <v>3447</v>
      </c>
      <c r="C1238" t="s">
        <v>3448</v>
      </c>
      <c r="D1238" t="s">
        <v>24</v>
      </c>
      <c r="E1238" t="s">
        <v>133</v>
      </c>
      <c r="O1238" t="s">
        <v>161</v>
      </c>
      <c r="R1238" t="s">
        <v>1692</v>
      </c>
      <c r="S1238" t="s">
        <v>1693</v>
      </c>
      <c r="T1238" t="s">
        <v>487</v>
      </c>
    </row>
    <row r="1239" spans="1:20" x14ac:dyDescent="0.2">
      <c r="A1239" t="s">
        <v>3449</v>
      </c>
      <c r="B1239" t="s">
        <v>3450</v>
      </c>
      <c r="C1239" t="s">
        <v>3451</v>
      </c>
      <c r="D1239" t="s">
        <v>14</v>
      </c>
      <c r="E1239" t="s">
        <v>133</v>
      </c>
      <c r="F1239" t="s">
        <v>133</v>
      </c>
      <c r="G1239" t="s">
        <v>133</v>
      </c>
      <c r="H1239" t="s">
        <v>133</v>
      </c>
      <c r="I1239" t="s">
        <v>133</v>
      </c>
      <c r="K1239" t="s">
        <v>3452</v>
      </c>
      <c r="O1239" t="s">
        <v>161</v>
      </c>
    </row>
    <row r="1240" spans="1:20" x14ac:dyDescent="0.2">
      <c r="A1240" t="s">
        <v>3453</v>
      </c>
      <c r="B1240" t="s">
        <v>3454</v>
      </c>
      <c r="C1240" t="s">
        <v>3455</v>
      </c>
      <c r="D1240" t="s">
        <v>61</v>
      </c>
      <c r="E1240" t="s">
        <v>255</v>
      </c>
      <c r="F1240" t="s">
        <v>133</v>
      </c>
      <c r="G1240" t="s">
        <v>133</v>
      </c>
      <c r="H1240" t="s">
        <v>133</v>
      </c>
      <c r="I1240" t="s">
        <v>133</v>
      </c>
      <c r="K1240" t="s">
        <v>3456</v>
      </c>
      <c r="O1240" t="s">
        <v>511</v>
      </c>
    </row>
    <row r="1241" spans="1:20" x14ac:dyDescent="0.2">
      <c r="A1241" t="s">
        <v>3453</v>
      </c>
      <c r="B1241" t="s">
        <v>3454</v>
      </c>
      <c r="C1241" t="s">
        <v>3455</v>
      </c>
      <c r="D1241" t="s">
        <v>35</v>
      </c>
      <c r="E1241" t="s">
        <v>505</v>
      </c>
      <c r="F1241" t="s">
        <v>133</v>
      </c>
      <c r="G1241" t="s">
        <v>133</v>
      </c>
      <c r="H1241" t="s">
        <v>3181</v>
      </c>
      <c r="I1241" t="s">
        <v>133</v>
      </c>
      <c r="O1241" t="s">
        <v>511</v>
      </c>
      <c r="R1241" t="s">
        <v>1682</v>
      </c>
      <c r="S1241" t="s">
        <v>1683</v>
      </c>
      <c r="T1241" t="s">
        <v>487</v>
      </c>
    </row>
    <row r="1242" spans="1:20" x14ac:dyDescent="0.2">
      <c r="A1242" t="s">
        <v>3453</v>
      </c>
      <c r="B1242" t="s">
        <v>3454</v>
      </c>
      <c r="C1242" t="s">
        <v>3455</v>
      </c>
      <c r="D1242" t="s">
        <v>35</v>
      </c>
      <c r="E1242" t="s">
        <v>505</v>
      </c>
      <c r="F1242" t="s">
        <v>133</v>
      </c>
      <c r="G1242" t="s">
        <v>133</v>
      </c>
      <c r="H1242" t="s">
        <v>1684</v>
      </c>
      <c r="I1242" t="s">
        <v>133</v>
      </c>
      <c r="O1242" t="s">
        <v>511</v>
      </c>
      <c r="R1242" t="s">
        <v>1685</v>
      </c>
      <c r="S1242" t="s">
        <v>1686</v>
      </c>
      <c r="T1242" t="s">
        <v>487</v>
      </c>
    </row>
    <row r="1243" spans="1:20" x14ac:dyDescent="0.2">
      <c r="A1243" t="s">
        <v>3457</v>
      </c>
      <c r="B1243" t="s">
        <v>3458</v>
      </c>
      <c r="C1243" t="s">
        <v>3459</v>
      </c>
      <c r="D1243" t="s">
        <v>14</v>
      </c>
      <c r="E1243" t="s">
        <v>133</v>
      </c>
      <c r="H1243" t="s">
        <v>2864</v>
      </c>
      <c r="K1243" t="s">
        <v>3460</v>
      </c>
      <c r="L1243" t="s">
        <v>160</v>
      </c>
      <c r="O1243" t="s">
        <v>161</v>
      </c>
    </row>
    <row r="1244" spans="1:20" x14ac:dyDescent="0.2">
      <c r="A1244" t="s">
        <v>3461</v>
      </c>
      <c r="B1244" t="s">
        <v>3462</v>
      </c>
      <c r="C1244" t="s">
        <v>3463</v>
      </c>
      <c r="D1244" t="s">
        <v>14</v>
      </c>
      <c r="E1244" t="s">
        <v>133</v>
      </c>
      <c r="F1244" t="s">
        <v>133</v>
      </c>
      <c r="G1244" t="s">
        <v>133</v>
      </c>
      <c r="H1244" t="s">
        <v>2864</v>
      </c>
      <c r="I1244" t="s">
        <v>133</v>
      </c>
      <c r="K1244" t="s">
        <v>3315</v>
      </c>
      <c r="O1244" t="s">
        <v>161</v>
      </c>
    </row>
    <row r="1245" spans="1:20" x14ac:dyDescent="0.2">
      <c r="A1245" t="s">
        <v>3464</v>
      </c>
      <c r="B1245" t="s">
        <v>3465</v>
      </c>
      <c r="C1245" t="s">
        <v>3315</v>
      </c>
      <c r="D1245" t="s">
        <v>35</v>
      </c>
      <c r="E1245" t="s">
        <v>133</v>
      </c>
      <c r="F1245" t="s">
        <v>133</v>
      </c>
      <c r="G1245" t="s">
        <v>133</v>
      </c>
      <c r="H1245" t="s">
        <v>133</v>
      </c>
      <c r="I1245" t="s">
        <v>133</v>
      </c>
      <c r="M1245" t="s">
        <v>291</v>
      </c>
      <c r="O1245" t="s">
        <v>161</v>
      </c>
      <c r="T1245" t="s">
        <v>487</v>
      </c>
    </row>
    <row r="1246" spans="1:20" x14ac:dyDescent="0.2">
      <c r="A1246" t="s">
        <v>3466</v>
      </c>
      <c r="B1246" t="s">
        <v>3467</v>
      </c>
      <c r="C1246" t="s">
        <v>3468</v>
      </c>
      <c r="D1246" t="s">
        <v>14</v>
      </c>
      <c r="E1246" t="s">
        <v>133</v>
      </c>
      <c r="K1246" t="s">
        <v>3469</v>
      </c>
      <c r="L1246" t="s">
        <v>160</v>
      </c>
      <c r="O1246" t="s">
        <v>161</v>
      </c>
    </row>
    <row r="1247" spans="1:20" x14ac:dyDescent="0.2">
      <c r="A1247" t="s">
        <v>3470</v>
      </c>
      <c r="B1247" t="s">
        <v>3471</v>
      </c>
      <c r="C1247" t="s">
        <v>3472</v>
      </c>
      <c r="D1247" t="s">
        <v>14</v>
      </c>
      <c r="E1247" t="s">
        <v>133</v>
      </c>
      <c r="K1247" t="s">
        <v>3473</v>
      </c>
      <c r="L1247" t="s">
        <v>160</v>
      </c>
      <c r="O1247" t="s">
        <v>161</v>
      </c>
    </row>
    <row r="1248" spans="1:20" x14ac:dyDescent="0.2">
      <c r="A1248" t="s">
        <v>3474</v>
      </c>
      <c r="B1248" t="s">
        <v>3475</v>
      </c>
      <c r="C1248" t="s">
        <v>3476</v>
      </c>
      <c r="D1248" t="s">
        <v>14</v>
      </c>
      <c r="E1248" t="s">
        <v>133</v>
      </c>
      <c r="H1248" t="s">
        <v>1684</v>
      </c>
      <c r="K1248" t="s">
        <v>3477</v>
      </c>
      <c r="O1248" t="s">
        <v>161</v>
      </c>
    </row>
    <row r="1249" spans="1:20" x14ac:dyDescent="0.2">
      <c r="A1249" t="s">
        <v>3478</v>
      </c>
      <c r="B1249" t="s">
        <v>3479</v>
      </c>
      <c r="C1249" t="s">
        <v>3480</v>
      </c>
      <c r="D1249" t="s">
        <v>14</v>
      </c>
      <c r="E1249" t="s">
        <v>133</v>
      </c>
      <c r="F1249" t="s">
        <v>133</v>
      </c>
      <c r="G1249" t="s">
        <v>133</v>
      </c>
      <c r="H1249" t="s">
        <v>133</v>
      </c>
      <c r="I1249" t="s">
        <v>133</v>
      </c>
      <c r="K1249" t="s">
        <v>3481</v>
      </c>
      <c r="O1249" t="s">
        <v>161</v>
      </c>
    </row>
    <row r="1250" spans="1:20" x14ac:dyDescent="0.2">
      <c r="A1250" t="s">
        <v>3482</v>
      </c>
      <c r="B1250" t="s">
        <v>3483</v>
      </c>
      <c r="C1250" t="s">
        <v>3484</v>
      </c>
      <c r="D1250" t="s">
        <v>35</v>
      </c>
      <c r="E1250" t="s">
        <v>505</v>
      </c>
      <c r="F1250" t="s">
        <v>133</v>
      </c>
      <c r="G1250" t="s">
        <v>133</v>
      </c>
      <c r="H1250" t="s">
        <v>133</v>
      </c>
      <c r="I1250" t="s">
        <v>133</v>
      </c>
      <c r="O1250" t="s">
        <v>511</v>
      </c>
      <c r="R1250" t="s">
        <v>1674</v>
      </c>
      <c r="S1250" t="s">
        <v>1675</v>
      </c>
      <c r="T1250" t="s">
        <v>487</v>
      </c>
    </row>
    <row r="1251" spans="1:20" x14ac:dyDescent="0.2">
      <c r="A1251" t="s">
        <v>3485</v>
      </c>
      <c r="B1251" t="s">
        <v>3486</v>
      </c>
      <c r="C1251" t="s">
        <v>3487</v>
      </c>
      <c r="D1251" t="s">
        <v>14</v>
      </c>
      <c r="E1251" t="s">
        <v>133</v>
      </c>
      <c r="K1251" t="s">
        <v>3488</v>
      </c>
      <c r="L1251" t="s">
        <v>160</v>
      </c>
      <c r="O1251" t="s">
        <v>161</v>
      </c>
    </row>
    <row r="1252" spans="1:20" x14ac:dyDescent="0.2">
      <c r="A1252" t="s">
        <v>3489</v>
      </c>
      <c r="B1252" t="s">
        <v>3490</v>
      </c>
      <c r="C1252" t="s">
        <v>3491</v>
      </c>
      <c r="D1252" t="s">
        <v>14</v>
      </c>
      <c r="E1252" t="s">
        <v>133</v>
      </c>
      <c r="F1252" t="s">
        <v>133</v>
      </c>
      <c r="G1252" t="s">
        <v>133</v>
      </c>
      <c r="H1252" t="s">
        <v>133</v>
      </c>
      <c r="I1252" t="s">
        <v>133</v>
      </c>
      <c r="K1252" t="s">
        <v>3315</v>
      </c>
      <c r="O1252" t="s">
        <v>161</v>
      </c>
    </row>
    <row r="1253" spans="1:20" x14ac:dyDescent="0.2">
      <c r="A1253" t="s">
        <v>3492</v>
      </c>
      <c r="B1253" t="s">
        <v>3493</v>
      </c>
      <c r="C1253" t="s">
        <v>3494</v>
      </c>
      <c r="D1253" t="s">
        <v>14</v>
      </c>
      <c r="E1253" t="s">
        <v>133</v>
      </c>
      <c r="K1253" t="s">
        <v>3495</v>
      </c>
      <c r="O1253" t="s">
        <v>161</v>
      </c>
    </row>
    <row r="1254" spans="1:20" x14ac:dyDescent="0.2">
      <c r="A1254" t="s">
        <v>3496</v>
      </c>
      <c r="B1254" t="s">
        <v>3497</v>
      </c>
      <c r="C1254" t="s">
        <v>3498</v>
      </c>
      <c r="D1254" t="s">
        <v>14</v>
      </c>
      <c r="E1254" t="s">
        <v>133</v>
      </c>
      <c r="K1254" t="s">
        <v>3499</v>
      </c>
      <c r="O1254" t="s">
        <v>161</v>
      </c>
    </row>
    <row r="1255" spans="1:20" x14ac:dyDescent="0.2">
      <c r="A1255" t="s">
        <v>3500</v>
      </c>
      <c r="B1255" t="s">
        <v>3501</v>
      </c>
      <c r="C1255" t="s">
        <v>3502</v>
      </c>
      <c r="D1255" t="s">
        <v>14</v>
      </c>
      <c r="E1255" t="s">
        <v>133</v>
      </c>
      <c r="K1255" t="s">
        <v>3503</v>
      </c>
      <c r="O1255" t="s">
        <v>161</v>
      </c>
    </row>
    <row r="1256" spans="1:20" x14ac:dyDescent="0.2">
      <c r="A1256" t="s">
        <v>3504</v>
      </c>
      <c r="B1256" t="s">
        <v>3505</v>
      </c>
      <c r="C1256" t="s">
        <v>3506</v>
      </c>
      <c r="D1256" t="s">
        <v>24</v>
      </c>
      <c r="E1256" t="s">
        <v>133</v>
      </c>
      <c r="O1256" t="s">
        <v>150</v>
      </c>
      <c r="Q1256" t="s">
        <v>3507</v>
      </c>
      <c r="R1256" t="s">
        <v>1674</v>
      </c>
      <c r="S1256" t="s">
        <v>1675</v>
      </c>
      <c r="T1256" t="s">
        <v>487</v>
      </c>
    </row>
    <row r="1257" spans="1:20" x14ac:dyDescent="0.2">
      <c r="A1257" t="s">
        <v>3508</v>
      </c>
      <c r="B1257" t="s">
        <v>3509</v>
      </c>
      <c r="C1257" t="s">
        <v>3510</v>
      </c>
      <c r="D1257" t="s">
        <v>24</v>
      </c>
      <c r="E1257" t="s">
        <v>133</v>
      </c>
      <c r="O1257" t="s">
        <v>161</v>
      </c>
      <c r="Q1257" t="s">
        <v>3511</v>
      </c>
      <c r="R1257" t="s">
        <v>1674</v>
      </c>
      <c r="S1257" t="s">
        <v>1675</v>
      </c>
      <c r="T1257" t="s">
        <v>487</v>
      </c>
    </row>
    <row r="1258" spans="1:20" x14ac:dyDescent="0.2">
      <c r="A1258" t="s">
        <v>3512</v>
      </c>
      <c r="B1258" t="s">
        <v>3513</v>
      </c>
      <c r="C1258" t="s">
        <v>3514</v>
      </c>
      <c r="D1258" t="s">
        <v>24</v>
      </c>
      <c r="E1258" t="s">
        <v>133</v>
      </c>
      <c r="O1258" t="s">
        <v>511</v>
      </c>
      <c r="Q1258" t="s">
        <v>3515</v>
      </c>
      <c r="R1258" t="s">
        <v>1674</v>
      </c>
      <c r="S1258" t="s">
        <v>1675</v>
      </c>
      <c r="T1258" t="s">
        <v>487</v>
      </c>
    </row>
    <row r="1259" spans="1:20" x14ac:dyDescent="0.2">
      <c r="A1259" t="s">
        <v>3516</v>
      </c>
      <c r="B1259" t="s">
        <v>3517</v>
      </c>
      <c r="C1259" t="s">
        <v>3518</v>
      </c>
      <c r="D1259" t="s">
        <v>24</v>
      </c>
      <c r="E1259" t="s">
        <v>133</v>
      </c>
      <c r="O1259" t="s">
        <v>511</v>
      </c>
      <c r="Q1259" t="s">
        <v>3519</v>
      </c>
      <c r="R1259" t="s">
        <v>1674</v>
      </c>
      <c r="S1259" t="s">
        <v>1675</v>
      </c>
      <c r="T1259" t="s">
        <v>487</v>
      </c>
    </row>
    <row r="1260" spans="1:20" x14ac:dyDescent="0.2">
      <c r="A1260" t="s">
        <v>3520</v>
      </c>
      <c r="B1260" t="s">
        <v>3521</v>
      </c>
      <c r="C1260" t="s">
        <v>3522</v>
      </c>
      <c r="D1260" t="s">
        <v>14</v>
      </c>
      <c r="E1260" t="s">
        <v>133</v>
      </c>
      <c r="K1260" t="s">
        <v>3523</v>
      </c>
      <c r="O1260" t="s">
        <v>161</v>
      </c>
    </row>
    <row r="1261" spans="1:20" x14ac:dyDescent="0.2">
      <c r="A1261" t="s">
        <v>3524</v>
      </c>
      <c r="B1261" t="s">
        <v>3525</v>
      </c>
      <c r="C1261" t="s">
        <v>3526</v>
      </c>
      <c r="D1261" t="s">
        <v>14</v>
      </c>
      <c r="E1261" t="s">
        <v>133</v>
      </c>
      <c r="K1261" t="s">
        <v>3527</v>
      </c>
      <c r="O1261" t="s">
        <v>161</v>
      </c>
    </row>
    <row r="1262" spans="1:20" x14ac:dyDescent="0.2">
      <c r="A1262" t="s">
        <v>3528</v>
      </c>
      <c r="B1262" t="s">
        <v>3529</v>
      </c>
      <c r="C1262" t="s">
        <v>3530</v>
      </c>
      <c r="D1262" t="s">
        <v>14</v>
      </c>
      <c r="E1262" t="s">
        <v>133</v>
      </c>
      <c r="K1262" t="s">
        <v>3531</v>
      </c>
      <c r="O1262" t="s">
        <v>161</v>
      </c>
    </row>
    <row r="1263" spans="1:20" x14ac:dyDescent="0.2">
      <c r="A1263" t="s">
        <v>3532</v>
      </c>
      <c r="B1263" t="s">
        <v>3533</v>
      </c>
      <c r="C1263" t="s">
        <v>3534</v>
      </c>
      <c r="D1263" t="s">
        <v>24</v>
      </c>
      <c r="E1263" t="s">
        <v>133</v>
      </c>
      <c r="O1263" t="s">
        <v>150</v>
      </c>
      <c r="Q1263" t="s">
        <v>3535</v>
      </c>
      <c r="R1263" t="s">
        <v>1674</v>
      </c>
      <c r="S1263" t="s">
        <v>1675</v>
      </c>
      <c r="T1263" t="s">
        <v>487</v>
      </c>
    </row>
    <row r="1264" spans="1:20" x14ac:dyDescent="0.2">
      <c r="A1264" t="s">
        <v>3536</v>
      </c>
      <c r="B1264" t="s">
        <v>3537</v>
      </c>
      <c r="C1264" t="s">
        <v>3538</v>
      </c>
      <c r="D1264" t="s">
        <v>24</v>
      </c>
      <c r="E1264" t="s">
        <v>133</v>
      </c>
      <c r="O1264" t="s">
        <v>161</v>
      </c>
      <c r="Q1264" t="s">
        <v>3539</v>
      </c>
      <c r="R1264" t="s">
        <v>1674</v>
      </c>
      <c r="S1264" t="s">
        <v>1675</v>
      </c>
      <c r="T1264" t="s">
        <v>487</v>
      </c>
    </row>
    <row r="1265" spans="1:20" x14ac:dyDescent="0.2">
      <c r="A1265" t="s">
        <v>3540</v>
      </c>
      <c r="B1265" t="s">
        <v>3541</v>
      </c>
      <c r="C1265" t="s">
        <v>3542</v>
      </c>
      <c r="D1265" t="s">
        <v>24</v>
      </c>
      <c r="E1265" t="s">
        <v>133</v>
      </c>
      <c r="O1265" t="s">
        <v>511</v>
      </c>
      <c r="Q1265" t="s">
        <v>3543</v>
      </c>
      <c r="R1265" t="s">
        <v>1674</v>
      </c>
      <c r="S1265" t="s">
        <v>1675</v>
      </c>
      <c r="T1265" t="s">
        <v>487</v>
      </c>
    </row>
    <row r="1266" spans="1:20" x14ac:dyDescent="0.2">
      <c r="A1266" t="s">
        <v>3544</v>
      </c>
      <c r="B1266" t="s">
        <v>3545</v>
      </c>
      <c r="C1266" t="s">
        <v>3546</v>
      </c>
      <c r="D1266" t="s">
        <v>24</v>
      </c>
      <c r="E1266" t="s">
        <v>133</v>
      </c>
      <c r="O1266" t="s">
        <v>511</v>
      </c>
      <c r="Q1266" t="s">
        <v>3547</v>
      </c>
      <c r="R1266" t="s">
        <v>1674</v>
      </c>
      <c r="S1266" t="s">
        <v>1675</v>
      </c>
      <c r="T1266" t="s">
        <v>487</v>
      </c>
    </row>
    <row r="1267" spans="1:20" x14ac:dyDescent="0.2">
      <c r="A1267" t="s">
        <v>3548</v>
      </c>
      <c r="B1267" t="s">
        <v>3549</v>
      </c>
      <c r="C1267" t="s">
        <v>3550</v>
      </c>
      <c r="D1267" t="s">
        <v>14</v>
      </c>
      <c r="E1267" t="s">
        <v>133</v>
      </c>
      <c r="K1267" t="s">
        <v>3551</v>
      </c>
      <c r="O1267" t="s">
        <v>161</v>
      </c>
    </row>
    <row r="1268" spans="1:20" x14ac:dyDescent="0.2">
      <c r="A1268" t="s">
        <v>3552</v>
      </c>
      <c r="B1268" t="s">
        <v>3553</v>
      </c>
      <c r="C1268" t="s">
        <v>3554</v>
      </c>
      <c r="D1268" t="s">
        <v>14</v>
      </c>
      <c r="E1268" t="s">
        <v>133</v>
      </c>
      <c r="K1268" t="s">
        <v>3555</v>
      </c>
      <c r="O1268" t="s">
        <v>161</v>
      </c>
    </row>
    <row r="1269" spans="1:20" x14ac:dyDescent="0.2">
      <c r="A1269" t="s">
        <v>3556</v>
      </c>
      <c r="B1269" t="s">
        <v>3557</v>
      </c>
      <c r="C1269" t="s">
        <v>3558</v>
      </c>
      <c r="D1269" t="s">
        <v>24</v>
      </c>
      <c r="E1269" t="s">
        <v>133</v>
      </c>
      <c r="O1269" t="s">
        <v>150</v>
      </c>
      <c r="Q1269" t="s">
        <v>3559</v>
      </c>
      <c r="R1269" t="s">
        <v>1674</v>
      </c>
      <c r="S1269" t="s">
        <v>1675</v>
      </c>
      <c r="T1269" t="s">
        <v>487</v>
      </c>
    </row>
    <row r="1270" spans="1:20" x14ac:dyDescent="0.2">
      <c r="A1270" t="s">
        <v>3560</v>
      </c>
      <c r="B1270" t="s">
        <v>3561</v>
      </c>
      <c r="C1270" t="s">
        <v>3562</v>
      </c>
      <c r="D1270" t="s">
        <v>24</v>
      </c>
      <c r="E1270" t="s">
        <v>133</v>
      </c>
      <c r="O1270" t="s">
        <v>161</v>
      </c>
      <c r="Q1270" t="s">
        <v>3563</v>
      </c>
      <c r="R1270" t="s">
        <v>1674</v>
      </c>
      <c r="S1270" t="s">
        <v>1675</v>
      </c>
      <c r="T1270" t="s">
        <v>487</v>
      </c>
    </row>
    <row r="1271" spans="1:20" x14ac:dyDescent="0.2">
      <c r="A1271" t="s">
        <v>3564</v>
      </c>
      <c r="B1271" t="s">
        <v>3565</v>
      </c>
      <c r="C1271" t="s">
        <v>3566</v>
      </c>
      <c r="D1271" t="s">
        <v>24</v>
      </c>
      <c r="E1271" t="s">
        <v>133</v>
      </c>
      <c r="O1271" t="s">
        <v>511</v>
      </c>
      <c r="Q1271" t="s">
        <v>3567</v>
      </c>
      <c r="R1271" t="s">
        <v>1674</v>
      </c>
      <c r="S1271" t="s">
        <v>1675</v>
      </c>
      <c r="T1271" t="s">
        <v>487</v>
      </c>
    </row>
    <row r="1272" spans="1:20" x14ac:dyDescent="0.2">
      <c r="A1272" t="s">
        <v>3568</v>
      </c>
      <c r="B1272" t="s">
        <v>3569</v>
      </c>
      <c r="C1272" t="s">
        <v>3570</v>
      </c>
      <c r="D1272" t="s">
        <v>14</v>
      </c>
      <c r="E1272" t="s">
        <v>133</v>
      </c>
      <c r="K1272" t="s">
        <v>3571</v>
      </c>
      <c r="O1272" t="s">
        <v>161</v>
      </c>
    </row>
    <row r="1273" spans="1:20" x14ac:dyDescent="0.2">
      <c r="A1273" t="s">
        <v>3572</v>
      </c>
      <c r="B1273" t="s">
        <v>3573</v>
      </c>
      <c r="C1273" t="s">
        <v>3574</v>
      </c>
      <c r="D1273" t="s">
        <v>14</v>
      </c>
      <c r="E1273" t="s">
        <v>133</v>
      </c>
      <c r="K1273" t="s">
        <v>3575</v>
      </c>
      <c r="O1273" t="s">
        <v>161</v>
      </c>
    </row>
    <row r="1274" spans="1:20" x14ac:dyDescent="0.2">
      <c r="A1274" t="s">
        <v>3576</v>
      </c>
      <c r="B1274" t="s">
        <v>3577</v>
      </c>
      <c r="C1274" t="s">
        <v>3578</v>
      </c>
      <c r="D1274" t="s">
        <v>24</v>
      </c>
      <c r="E1274" t="s">
        <v>133</v>
      </c>
      <c r="O1274" t="s">
        <v>150</v>
      </c>
      <c r="Q1274" t="s">
        <v>3579</v>
      </c>
      <c r="R1274" t="s">
        <v>1674</v>
      </c>
      <c r="S1274" t="s">
        <v>1675</v>
      </c>
      <c r="T1274" t="s">
        <v>487</v>
      </c>
    </row>
    <row r="1275" spans="1:20" x14ac:dyDescent="0.2">
      <c r="A1275" t="s">
        <v>3580</v>
      </c>
      <c r="B1275" t="s">
        <v>3581</v>
      </c>
      <c r="C1275" t="s">
        <v>3582</v>
      </c>
      <c r="D1275" t="s">
        <v>24</v>
      </c>
      <c r="E1275" t="s">
        <v>133</v>
      </c>
      <c r="O1275" t="s">
        <v>161</v>
      </c>
      <c r="Q1275" t="s">
        <v>3583</v>
      </c>
      <c r="R1275" t="s">
        <v>1674</v>
      </c>
      <c r="S1275" t="s">
        <v>1675</v>
      </c>
      <c r="T1275" t="s">
        <v>487</v>
      </c>
    </row>
    <row r="1276" spans="1:20" x14ac:dyDescent="0.2">
      <c r="A1276" t="s">
        <v>3584</v>
      </c>
      <c r="B1276" t="s">
        <v>3585</v>
      </c>
      <c r="C1276" t="s">
        <v>3586</v>
      </c>
      <c r="D1276" t="s">
        <v>24</v>
      </c>
      <c r="E1276" t="s">
        <v>133</v>
      </c>
      <c r="O1276" t="s">
        <v>511</v>
      </c>
      <c r="Q1276" t="s">
        <v>3587</v>
      </c>
      <c r="R1276" t="s">
        <v>1674</v>
      </c>
      <c r="S1276" t="s">
        <v>1675</v>
      </c>
      <c r="T1276" t="s">
        <v>487</v>
      </c>
    </row>
    <row r="1277" spans="1:20" x14ac:dyDescent="0.2">
      <c r="A1277" t="s">
        <v>3588</v>
      </c>
      <c r="B1277" t="s">
        <v>3589</v>
      </c>
      <c r="C1277" t="s">
        <v>3590</v>
      </c>
      <c r="D1277" t="s">
        <v>14</v>
      </c>
      <c r="E1277" t="s">
        <v>133</v>
      </c>
      <c r="K1277" t="s">
        <v>3591</v>
      </c>
      <c r="O1277" t="s">
        <v>161</v>
      </c>
    </row>
    <row r="1278" spans="1:20" x14ac:dyDescent="0.2">
      <c r="A1278" t="s">
        <v>3592</v>
      </c>
      <c r="B1278" t="s">
        <v>3593</v>
      </c>
      <c r="C1278" t="s">
        <v>3594</v>
      </c>
      <c r="D1278" t="s">
        <v>14</v>
      </c>
      <c r="E1278" t="s">
        <v>133</v>
      </c>
      <c r="K1278" t="s">
        <v>3595</v>
      </c>
      <c r="O1278" t="s">
        <v>161</v>
      </c>
    </row>
    <row r="1279" spans="1:20" x14ac:dyDescent="0.2">
      <c r="A1279" t="s">
        <v>3596</v>
      </c>
      <c r="B1279" t="s">
        <v>3597</v>
      </c>
      <c r="C1279" t="s">
        <v>3598</v>
      </c>
      <c r="D1279" t="s">
        <v>14</v>
      </c>
      <c r="E1279" t="s">
        <v>133</v>
      </c>
      <c r="K1279" t="s">
        <v>3599</v>
      </c>
      <c r="O1279" t="s">
        <v>161</v>
      </c>
    </row>
    <row r="1280" spans="1:20" x14ac:dyDescent="0.2">
      <c r="A1280" t="s">
        <v>3600</v>
      </c>
      <c r="B1280" t="s">
        <v>3601</v>
      </c>
      <c r="C1280" t="s">
        <v>3602</v>
      </c>
      <c r="D1280" t="s">
        <v>14</v>
      </c>
      <c r="E1280" t="s">
        <v>133</v>
      </c>
      <c r="K1280" t="s">
        <v>3603</v>
      </c>
      <c r="O1280" t="s">
        <v>161</v>
      </c>
    </row>
    <row r="1281" spans="1:20" x14ac:dyDescent="0.2">
      <c r="A1281" t="s">
        <v>3604</v>
      </c>
      <c r="B1281" t="s">
        <v>3605</v>
      </c>
      <c r="C1281" t="s">
        <v>3606</v>
      </c>
      <c r="D1281" t="s">
        <v>24</v>
      </c>
      <c r="E1281" t="s">
        <v>133</v>
      </c>
      <c r="O1281" t="s">
        <v>150</v>
      </c>
      <c r="Q1281" t="s">
        <v>3607</v>
      </c>
      <c r="R1281" t="s">
        <v>1674</v>
      </c>
      <c r="S1281" t="s">
        <v>1675</v>
      </c>
      <c r="T1281" t="s">
        <v>487</v>
      </c>
    </row>
    <row r="1282" spans="1:20" x14ac:dyDescent="0.2">
      <c r="A1282" t="s">
        <v>3608</v>
      </c>
      <c r="B1282" t="s">
        <v>3609</v>
      </c>
      <c r="C1282" t="s">
        <v>3610</v>
      </c>
      <c r="D1282" t="s">
        <v>24</v>
      </c>
      <c r="E1282" t="s">
        <v>133</v>
      </c>
      <c r="O1282" t="s">
        <v>161</v>
      </c>
      <c r="Q1282" t="s">
        <v>3611</v>
      </c>
      <c r="R1282" t="s">
        <v>1674</v>
      </c>
      <c r="S1282" t="s">
        <v>1675</v>
      </c>
      <c r="T1282" t="s">
        <v>487</v>
      </c>
    </row>
    <row r="1283" spans="1:20" x14ac:dyDescent="0.2">
      <c r="A1283" t="s">
        <v>3612</v>
      </c>
      <c r="B1283" t="s">
        <v>3613</v>
      </c>
      <c r="C1283" t="s">
        <v>3614</v>
      </c>
      <c r="D1283" t="s">
        <v>24</v>
      </c>
      <c r="E1283" t="s">
        <v>133</v>
      </c>
      <c r="O1283" t="s">
        <v>511</v>
      </c>
      <c r="Q1283" t="s">
        <v>3615</v>
      </c>
      <c r="R1283" t="s">
        <v>1674</v>
      </c>
      <c r="S1283" t="s">
        <v>1675</v>
      </c>
      <c r="T1283" t="s">
        <v>487</v>
      </c>
    </row>
    <row r="1284" spans="1:20" x14ac:dyDescent="0.2">
      <c r="A1284" t="s">
        <v>3616</v>
      </c>
      <c r="B1284" t="s">
        <v>3617</v>
      </c>
      <c r="C1284" t="s">
        <v>3618</v>
      </c>
      <c r="D1284" t="s">
        <v>14</v>
      </c>
      <c r="E1284" t="s">
        <v>133</v>
      </c>
      <c r="K1284" t="s">
        <v>3619</v>
      </c>
      <c r="O1284" t="s">
        <v>161</v>
      </c>
    </row>
    <row r="1285" spans="1:20" x14ac:dyDescent="0.2">
      <c r="A1285" t="s">
        <v>3620</v>
      </c>
      <c r="B1285" t="s">
        <v>3621</v>
      </c>
      <c r="C1285" t="s">
        <v>3622</v>
      </c>
      <c r="D1285" t="s">
        <v>14</v>
      </c>
      <c r="E1285" t="s">
        <v>133</v>
      </c>
      <c r="K1285" t="s">
        <v>3623</v>
      </c>
      <c r="O1285" t="s">
        <v>161</v>
      </c>
    </row>
    <row r="1286" spans="1:20" x14ac:dyDescent="0.2">
      <c r="A1286" t="s">
        <v>3624</v>
      </c>
      <c r="B1286" t="s">
        <v>3625</v>
      </c>
      <c r="C1286" t="s">
        <v>3626</v>
      </c>
      <c r="D1286" t="s">
        <v>24</v>
      </c>
      <c r="E1286" t="s">
        <v>133</v>
      </c>
      <c r="O1286" t="s">
        <v>150</v>
      </c>
      <c r="Q1286" t="s">
        <v>3627</v>
      </c>
      <c r="R1286" t="s">
        <v>1674</v>
      </c>
      <c r="S1286" t="s">
        <v>1675</v>
      </c>
      <c r="T1286" t="s">
        <v>487</v>
      </c>
    </row>
    <row r="1287" spans="1:20" x14ac:dyDescent="0.2">
      <c r="A1287" t="s">
        <v>3628</v>
      </c>
      <c r="B1287" t="s">
        <v>3629</v>
      </c>
      <c r="C1287" t="s">
        <v>3630</v>
      </c>
      <c r="D1287" t="s">
        <v>24</v>
      </c>
      <c r="E1287" t="s">
        <v>133</v>
      </c>
      <c r="O1287" t="s">
        <v>161</v>
      </c>
      <c r="Q1287" t="s">
        <v>3631</v>
      </c>
      <c r="R1287" t="s">
        <v>1674</v>
      </c>
      <c r="S1287" t="s">
        <v>1675</v>
      </c>
      <c r="T1287" t="s">
        <v>487</v>
      </c>
    </row>
    <row r="1288" spans="1:20" x14ac:dyDescent="0.2">
      <c r="A1288" t="s">
        <v>3632</v>
      </c>
      <c r="B1288" t="s">
        <v>3633</v>
      </c>
      <c r="C1288" t="s">
        <v>3634</v>
      </c>
      <c r="D1288" t="s">
        <v>24</v>
      </c>
      <c r="E1288" t="s">
        <v>133</v>
      </c>
      <c r="O1288" t="s">
        <v>511</v>
      </c>
      <c r="Q1288" t="s">
        <v>3635</v>
      </c>
      <c r="R1288" t="s">
        <v>1674</v>
      </c>
      <c r="S1288" t="s">
        <v>1675</v>
      </c>
      <c r="T1288" t="s">
        <v>487</v>
      </c>
    </row>
    <row r="1289" spans="1:20" x14ac:dyDescent="0.2">
      <c r="A1289" t="s">
        <v>3636</v>
      </c>
      <c r="B1289" t="s">
        <v>3637</v>
      </c>
      <c r="C1289" t="s">
        <v>3638</v>
      </c>
      <c r="D1289" t="s">
        <v>14</v>
      </c>
      <c r="E1289" t="s">
        <v>133</v>
      </c>
      <c r="K1289" t="s">
        <v>3639</v>
      </c>
      <c r="O1289" t="s">
        <v>161</v>
      </c>
    </row>
    <row r="1290" spans="1:20" x14ac:dyDescent="0.2">
      <c r="A1290" t="s">
        <v>3640</v>
      </c>
      <c r="B1290" t="s">
        <v>3641</v>
      </c>
      <c r="C1290" t="s">
        <v>3642</v>
      </c>
      <c r="D1290" t="s">
        <v>14</v>
      </c>
      <c r="E1290" t="s">
        <v>133</v>
      </c>
      <c r="K1290" t="s">
        <v>3643</v>
      </c>
      <c r="O1290" t="s">
        <v>161</v>
      </c>
    </row>
    <row r="1291" spans="1:20" x14ac:dyDescent="0.2">
      <c r="A1291" t="s">
        <v>3644</v>
      </c>
      <c r="B1291" t="s">
        <v>3645</v>
      </c>
      <c r="C1291" t="s">
        <v>3646</v>
      </c>
      <c r="D1291" t="s">
        <v>24</v>
      </c>
      <c r="E1291" t="s">
        <v>133</v>
      </c>
      <c r="O1291" t="s">
        <v>150</v>
      </c>
      <c r="Q1291" t="s">
        <v>3647</v>
      </c>
      <c r="R1291" t="s">
        <v>1674</v>
      </c>
      <c r="S1291" t="s">
        <v>1675</v>
      </c>
      <c r="T1291" t="s">
        <v>487</v>
      </c>
    </row>
    <row r="1292" spans="1:20" x14ac:dyDescent="0.2">
      <c r="A1292" t="s">
        <v>3648</v>
      </c>
      <c r="B1292" t="s">
        <v>3649</v>
      </c>
      <c r="C1292" t="s">
        <v>3650</v>
      </c>
      <c r="D1292" t="s">
        <v>24</v>
      </c>
      <c r="E1292" t="s">
        <v>133</v>
      </c>
      <c r="O1292" t="s">
        <v>150</v>
      </c>
      <c r="Q1292" t="s">
        <v>3651</v>
      </c>
      <c r="R1292" t="s">
        <v>1674</v>
      </c>
      <c r="S1292" t="s">
        <v>1675</v>
      </c>
      <c r="T1292" t="s">
        <v>487</v>
      </c>
    </row>
    <row r="1293" spans="1:20" x14ac:dyDescent="0.2">
      <c r="A1293" t="s">
        <v>3652</v>
      </c>
      <c r="B1293" t="s">
        <v>3653</v>
      </c>
      <c r="C1293" t="s">
        <v>3654</v>
      </c>
      <c r="D1293" t="s">
        <v>24</v>
      </c>
      <c r="E1293" t="s">
        <v>133</v>
      </c>
      <c r="O1293" t="s">
        <v>511</v>
      </c>
      <c r="Q1293" t="s">
        <v>3655</v>
      </c>
      <c r="R1293" t="s">
        <v>1674</v>
      </c>
      <c r="S1293" t="s">
        <v>1675</v>
      </c>
      <c r="T1293" t="s">
        <v>487</v>
      </c>
    </row>
    <row r="1294" spans="1:20" x14ac:dyDescent="0.2">
      <c r="A1294" t="s">
        <v>3656</v>
      </c>
      <c r="B1294" t="s">
        <v>3657</v>
      </c>
      <c r="C1294" t="s">
        <v>3658</v>
      </c>
      <c r="D1294" t="s">
        <v>14</v>
      </c>
      <c r="E1294" t="s">
        <v>133</v>
      </c>
      <c r="K1294" t="s">
        <v>3659</v>
      </c>
      <c r="O1294" t="s">
        <v>161</v>
      </c>
    </row>
    <row r="1295" spans="1:20" x14ac:dyDescent="0.2">
      <c r="A1295" t="s">
        <v>3660</v>
      </c>
      <c r="B1295" t="s">
        <v>3661</v>
      </c>
      <c r="C1295" t="s">
        <v>3662</v>
      </c>
      <c r="D1295" t="s">
        <v>14</v>
      </c>
      <c r="E1295" t="s">
        <v>133</v>
      </c>
      <c r="K1295" t="s">
        <v>3663</v>
      </c>
      <c r="O1295" t="s">
        <v>161</v>
      </c>
    </row>
    <row r="1296" spans="1:20" x14ac:dyDescent="0.2">
      <c r="A1296" t="s">
        <v>3664</v>
      </c>
      <c r="B1296" t="s">
        <v>3665</v>
      </c>
      <c r="C1296" t="s">
        <v>3666</v>
      </c>
      <c r="D1296" t="s">
        <v>24</v>
      </c>
      <c r="E1296" t="s">
        <v>133</v>
      </c>
      <c r="O1296" t="s">
        <v>150</v>
      </c>
      <c r="Q1296" t="s">
        <v>3667</v>
      </c>
      <c r="R1296" t="s">
        <v>1674</v>
      </c>
      <c r="S1296" t="s">
        <v>1675</v>
      </c>
      <c r="T1296" t="s">
        <v>487</v>
      </c>
    </row>
    <row r="1297" spans="1:20" x14ac:dyDescent="0.2">
      <c r="A1297" t="s">
        <v>3668</v>
      </c>
      <c r="B1297" t="s">
        <v>3669</v>
      </c>
      <c r="C1297" t="s">
        <v>3670</v>
      </c>
      <c r="D1297" t="s">
        <v>24</v>
      </c>
      <c r="E1297" t="s">
        <v>133</v>
      </c>
      <c r="O1297" t="s">
        <v>161</v>
      </c>
      <c r="Q1297" t="s">
        <v>3671</v>
      </c>
      <c r="R1297" t="s">
        <v>1674</v>
      </c>
      <c r="S1297" t="s">
        <v>1675</v>
      </c>
      <c r="T1297" t="s">
        <v>487</v>
      </c>
    </row>
    <row r="1298" spans="1:20" x14ac:dyDescent="0.2">
      <c r="A1298" t="s">
        <v>3672</v>
      </c>
      <c r="B1298" t="s">
        <v>3673</v>
      </c>
      <c r="C1298" t="s">
        <v>3674</v>
      </c>
      <c r="D1298" t="s">
        <v>24</v>
      </c>
      <c r="E1298" t="s">
        <v>133</v>
      </c>
      <c r="O1298" t="s">
        <v>511</v>
      </c>
      <c r="Q1298" t="s">
        <v>3675</v>
      </c>
      <c r="R1298" t="s">
        <v>1674</v>
      </c>
      <c r="S1298" t="s">
        <v>1675</v>
      </c>
      <c r="T1298" t="s">
        <v>487</v>
      </c>
    </row>
    <row r="1299" spans="1:20" x14ac:dyDescent="0.2">
      <c r="A1299" t="s">
        <v>3676</v>
      </c>
      <c r="B1299" t="s">
        <v>3677</v>
      </c>
      <c r="C1299" t="s">
        <v>3678</v>
      </c>
      <c r="D1299" t="s">
        <v>14</v>
      </c>
      <c r="E1299" t="s">
        <v>133</v>
      </c>
      <c r="K1299" t="s">
        <v>3679</v>
      </c>
      <c r="O1299" t="s">
        <v>161</v>
      </c>
    </row>
    <row r="1300" spans="1:20" x14ac:dyDescent="0.2">
      <c r="A1300" t="s">
        <v>3680</v>
      </c>
      <c r="B1300" t="s">
        <v>3681</v>
      </c>
      <c r="C1300" t="s">
        <v>3682</v>
      </c>
      <c r="D1300" t="s">
        <v>14</v>
      </c>
      <c r="E1300" t="s">
        <v>133</v>
      </c>
      <c r="K1300" t="s">
        <v>3683</v>
      </c>
      <c r="O1300" t="s">
        <v>161</v>
      </c>
    </row>
    <row r="1301" spans="1:20" x14ac:dyDescent="0.2">
      <c r="A1301" t="s">
        <v>3684</v>
      </c>
      <c r="B1301" t="s">
        <v>3685</v>
      </c>
      <c r="C1301" t="s">
        <v>3686</v>
      </c>
      <c r="D1301" t="s">
        <v>24</v>
      </c>
      <c r="E1301" t="s">
        <v>133</v>
      </c>
      <c r="O1301" t="s">
        <v>150</v>
      </c>
      <c r="Q1301" t="s">
        <v>3687</v>
      </c>
      <c r="R1301" t="s">
        <v>1674</v>
      </c>
      <c r="S1301" t="s">
        <v>1675</v>
      </c>
      <c r="T1301" t="s">
        <v>487</v>
      </c>
    </row>
    <row r="1302" spans="1:20" x14ac:dyDescent="0.2">
      <c r="A1302" t="s">
        <v>3688</v>
      </c>
      <c r="B1302" t="s">
        <v>3689</v>
      </c>
      <c r="C1302" t="s">
        <v>3690</v>
      </c>
      <c r="D1302" t="s">
        <v>24</v>
      </c>
      <c r="E1302" t="s">
        <v>133</v>
      </c>
      <c r="O1302" t="s">
        <v>161</v>
      </c>
      <c r="Q1302" t="s">
        <v>3691</v>
      </c>
      <c r="R1302" t="s">
        <v>1674</v>
      </c>
      <c r="S1302" t="s">
        <v>1675</v>
      </c>
      <c r="T1302" t="s">
        <v>487</v>
      </c>
    </row>
    <row r="1303" spans="1:20" x14ac:dyDescent="0.2">
      <c r="A1303" t="s">
        <v>3692</v>
      </c>
      <c r="B1303" t="s">
        <v>3693</v>
      </c>
      <c r="C1303" t="s">
        <v>3694</v>
      </c>
      <c r="D1303" t="s">
        <v>24</v>
      </c>
      <c r="E1303" t="s">
        <v>133</v>
      </c>
      <c r="O1303" t="s">
        <v>511</v>
      </c>
      <c r="Q1303" t="s">
        <v>3695</v>
      </c>
      <c r="R1303" t="s">
        <v>1674</v>
      </c>
      <c r="S1303" t="s">
        <v>1675</v>
      </c>
      <c r="T1303" t="s">
        <v>487</v>
      </c>
    </row>
    <row r="1304" spans="1:20" x14ac:dyDescent="0.2">
      <c r="A1304" t="s">
        <v>3696</v>
      </c>
      <c r="B1304" t="s">
        <v>3697</v>
      </c>
      <c r="C1304" t="s">
        <v>3698</v>
      </c>
      <c r="D1304" t="s">
        <v>14</v>
      </c>
      <c r="E1304" t="s">
        <v>133</v>
      </c>
      <c r="K1304" t="s">
        <v>3699</v>
      </c>
      <c r="O1304" t="s">
        <v>161</v>
      </c>
    </row>
    <row r="1305" spans="1:20" x14ac:dyDescent="0.2">
      <c r="A1305" t="s">
        <v>3700</v>
      </c>
      <c r="B1305" t="s">
        <v>3701</v>
      </c>
      <c r="C1305" t="s">
        <v>3702</v>
      </c>
      <c r="D1305" t="s">
        <v>14</v>
      </c>
      <c r="E1305" t="s">
        <v>133</v>
      </c>
      <c r="K1305" t="s">
        <v>3703</v>
      </c>
      <c r="O1305" t="s">
        <v>161</v>
      </c>
    </row>
    <row r="1306" spans="1:20" x14ac:dyDescent="0.2">
      <c r="A1306" t="s">
        <v>3704</v>
      </c>
      <c r="B1306" t="s">
        <v>3705</v>
      </c>
      <c r="C1306" t="s">
        <v>3706</v>
      </c>
      <c r="D1306" t="s">
        <v>24</v>
      </c>
      <c r="E1306" t="s">
        <v>133</v>
      </c>
      <c r="O1306" t="s">
        <v>150</v>
      </c>
      <c r="Q1306" t="s">
        <v>3707</v>
      </c>
      <c r="R1306" t="s">
        <v>1674</v>
      </c>
      <c r="S1306" t="s">
        <v>1675</v>
      </c>
      <c r="T1306" t="s">
        <v>487</v>
      </c>
    </row>
    <row r="1307" spans="1:20" x14ac:dyDescent="0.2">
      <c r="A1307" t="s">
        <v>3708</v>
      </c>
      <c r="B1307" t="s">
        <v>3709</v>
      </c>
      <c r="C1307" t="s">
        <v>3710</v>
      </c>
      <c r="D1307" t="s">
        <v>24</v>
      </c>
      <c r="E1307" t="s">
        <v>133</v>
      </c>
      <c r="O1307" t="s">
        <v>161</v>
      </c>
      <c r="Q1307" t="s">
        <v>3711</v>
      </c>
      <c r="R1307" t="s">
        <v>1674</v>
      </c>
      <c r="S1307" t="s">
        <v>1675</v>
      </c>
      <c r="T1307" t="s">
        <v>487</v>
      </c>
    </row>
    <row r="1308" spans="1:20" x14ac:dyDescent="0.2">
      <c r="A1308" t="s">
        <v>3712</v>
      </c>
      <c r="B1308" t="s">
        <v>3713</v>
      </c>
      <c r="C1308" t="s">
        <v>3714</v>
      </c>
      <c r="D1308" t="s">
        <v>24</v>
      </c>
      <c r="E1308" t="s">
        <v>133</v>
      </c>
      <c r="O1308" t="s">
        <v>511</v>
      </c>
      <c r="Q1308" t="s">
        <v>3715</v>
      </c>
      <c r="R1308" t="s">
        <v>1674</v>
      </c>
      <c r="S1308" t="s">
        <v>1675</v>
      </c>
      <c r="T1308" t="s">
        <v>487</v>
      </c>
    </row>
    <row r="1309" spans="1:20" x14ac:dyDescent="0.2">
      <c r="A1309" t="s">
        <v>3716</v>
      </c>
      <c r="B1309" t="s">
        <v>3717</v>
      </c>
      <c r="C1309" t="s">
        <v>3718</v>
      </c>
      <c r="D1309" t="s">
        <v>14</v>
      </c>
      <c r="E1309" t="s">
        <v>133</v>
      </c>
      <c r="K1309" t="s">
        <v>3719</v>
      </c>
      <c r="O1309" t="s">
        <v>161</v>
      </c>
    </row>
    <row r="1310" spans="1:20" x14ac:dyDescent="0.2">
      <c r="A1310" t="s">
        <v>3720</v>
      </c>
      <c r="B1310" t="s">
        <v>3721</v>
      </c>
      <c r="C1310" t="s">
        <v>3722</v>
      </c>
      <c r="D1310" t="s">
        <v>14</v>
      </c>
      <c r="E1310" t="s">
        <v>133</v>
      </c>
      <c r="K1310" t="s">
        <v>3723</v>
      </c>
      <c r="O1310" t="s">
        <v>161</v>
      </c>
    </row>
    <row r="1311" spans="1:20" x14ac:dyDescent="0.2">
      <c r="A1311" t="s">
        <v>3724</v>
      </c>
      <c r="B1311" t="s">
        <v>3725</v>
      </c>
      <c r="C1311" t="s">
        <v>3726</v>
      </c>
      <c r="D1311" t="s">
        <v>24</v>
      </c>
      <c r="E1311" t="s">
        <v>133</v>
      </c>
      <c r="O1311" t="s">
        <v>150</v>
      </c>
      <c r="Q1311" t="s">
        <v>3727</v>
      </c>
      <c r="R1311" t="s">
        <v>1674</v>
      </c>
      <c r="S1311" t="s">
        <v>1675</v>
      </c>
      <c r="T1311" t="s">
        <v>487</v>
      </c>
    </row>
    <row r="1312" spans="1:20" x14ac:dyDescent="0.2">
      <c r="A1312" t="s">
        <v>3728</v>
      </c>
      <c r="B1312" t="s">
        <v>3729</v>
      </c>
      <c r="C1312" t="s">
        <v>3730</v>
      </c>
      <c r="D1312" t="s">
        <v>24</v>
      </c>
      <c r="E1312" t="s">
        <v>133</v>
      </c>
      <c r="O1312" t="s">
        <v>161</v>
      </c>
      <c r="Q1312" t="s">
        <v>3731</v>
      </c>
      <c r="R1312" t="s">
        <v>1674</v>
      </c>
      <c r="S1312" t="s">
        <v>1675</v>
      </c>
      <c r="T1312" t="s">
        <v>487</v>
      </c>
    </row>
    <row r="1313" spans="1:20" x14ac:dyDescent="0.2">
      <c r="A1313" t="s">
        <v>3732</v>
      </c>
      <c r="B1313" t="s">
        <v>3733</v>
      </c>
      <c r="C1313" t="s">
        <v>3734</v>
      </c>
      <c r="D1313" t="s">
        <v>24</v>
      </c>
      <c r="E1313" t="s">
        <v>133</v>
      </c>
      <c r="O1313" t="s">
        <v>511</v>
      </c>
      <c r="Q1313" t="s">
        <v>3735</v>
      </c>
      <c r="R1313" t="s">
        <v>1674</v>
      </c>
      <c r="S1313" t="s">
        <v>1675</v>
      </c>
      <c r="T1313" t="s">
        <v>487</v>
      </c>
    </row>
    <row r="1314" spans="1:20" x14ac:dyDescent="0.2">
      <c r="A1314" t="s">
        <v>3736</v>
      </c>
      <c r="B1314" t="s">
        <v>3737</v>
      </c>
      <c r="C1314" t="s">
        <v>3738</v>
      </c>
      <c r="D1314" t="s">
        <v>14</v>
      </c>
      <c r="E1314" t="s">
        <v>133</v>
      </c>
      <c r="K1314" t="s">
        <v>3739</v>
      </c>
      <c r="O1314" t="s">
        <v>161</v>
      </c>
    </row>
    <row r="1315" spans="1:20" x14ac:dyDescent="0.2">
      <c r="A1315" t="s">
        <v>3740</v>
      </c>
      <c r="B1315" t="s">
        <v>3741</v>
      </c>
      <c r="C1315" t="s">
        <v>3742</v>
      </c>
      <c r="D1315" t="s">
        <v>14</v>
      </c>
      <c r="E1315" t="s">
        <v>133</v>
      </c>
      <c r="K1315" t="s">
        <v>3743</v>
      </c>
      <c r="O1315" t="s">
        <v>161</v>
      </c>
    </row>
    <row r="1316" spans="1:20" x14ac:dyDescent="0.2">
      <c r="A1316" t="s">
        <v>3744</v>
      </c>
      <c r="B1316" t="s">
        <v>3745</v>
      </c>
      <c r="C1316" t="s">
        <v>3746</v>
      </c>
      <c r="D1316" t="s">
        <v>24</v>
      </c>
      <c r="E1316" t="s">
        <v>133</v>
      </c>
      <c r="O1316" t="s">
        <v>150</v>
      </c>
      <c r="Q1316" t="s">
        <v>3747</v>
      </c>
      <c r="R1316" t="s">
        <v>1674</v>
      </c>
      <c r="S1316" t="s">
        <v>1675</v>
      </c>
      <c r="T1316" t="s">
        <v>487</v>
      </c>
    </row>
    <row r="1317" spans="1:20" x14ac:dyDescent="0.2">
      <c r="A1317" t="s">
        <v>3748</v>
      </c>
      <c r="B1317" t="s">
        <v>3749</v>
      </c>
      <c r="C1317" t="s">
        <v>3750</v>
      </c>
      <c r="D1317" t="s">
        <v>24</v>
      </c>
      <c r="E1317" t="s">
        <v>133</v>
      </c>
      <c r="O1317" t="s">
        <v>161</v>
      </c>
      <c r="Q1317" t="s">
        <v>3751</v>
      </c>
      <c r="R1317" t="s">
        <v>1674</v>
      </c>
      <c r="S1317" t="s">
        <v>1675</v>
      </c>
      <c r="T1317" t="s">
        <v>487</v>
      </c>
    </row>
    <row r="1318" spans="1:20" x14ac:dyDescent="0.2">
      <c r="A1318" t="s">
        <v>3752</v>
      </c>
      <c r="B1318" t="s">
        <v>3753</v>
      </c>
      <c r="C1318" t="s">
        <v>3754</v>
      </c>
      <c r="D1318" t="s">
        <v>24</v>
      </c>
      <c r="E1318" t="s">
        <v>133</v>
      </c>
      <c r="O1318" t="s">
        <v>511</v>
      </c>
      <c r="Q1318" t="s">
        <v>3755</v>
      </c>
      <c r="R1318" t="s">
        <v>1674</v>
      </c>
      <c r="S1318" t="s">
        <v>1675</v>
      </c>
      <c r="T1318" t="s">
        <v>487</v>
      </c>
    </row>
    <row r="1319" spans="1:20" x14ac:dyDescent="0.2">
      <c r="A1319" t="s">
        <v>3756</v>
      </c>
      <c r="B1319" t="s">
        <v>3757</v>
      </c>
      <c r="C1319" t="s">
        <v>3758</v>
      </c>
      <c r="D1319" t="s">
        <v>14</v>
      </c>
      <c r="E1319" t="s">
        <v>133</v>
      </c>
      <c r="K1319" t="s">
        <v>3759</v>
      </c>
      <c r="O1319" t="s">
        <v>161</v>
      </c>
    </row>
    <row r="1320" spans="1:20" x14ac:dyDescent="0.2">
      <c r="A1320" t="s">
        <v>3760</v>
      </c>
      <c r="B1320" t="s">
        <v>3761</v>
      </c>
      <c r="C1320" t="s">
        <v>3762</v>
      </c>
      <c r="D1320" t="s">
        <v>14</v>
      </c>
      <c r="E1320" t="s">
        <v>133</v>
      </c>
      <c r="K1320" t="s">
        <v>3763</v>
      </c>
      <c r="O1320" t="s">
        <v>161</v>
      </c>
    </row>
    <row r="1321" spans="1:20" x14ac:dyDescent="0.2">
      <c r="A1321" t="s">
        <v>3764</v>
      </c>
      <c r="B1321" t="s">
        <v>3765</v>
      </c>
      <c r="C1321" t="s">
        <v>3766</v>
      </c>
      <c r="D1321" t="s">
        <v>24</v>
      </c>
      <c r="E1321" t="s">
        <v>133</v>
      </c>
      <c r="O1321" t="s">
        <v>150</v>
      </c>
      <c r="Q1321" t="s">
        <v>3767</v>
      </c>
      <c r="R1321" t="s">
        <v>1674</v>
      </c>
      <c r="S1321" t="s">
        <v>1675</v>
      </c>
      <c r="T1321" t="s">
        <v>487</v>
      </c>
    </row>
    <row r="1322" spans="1:20" x14ac:dyDescent="0.2">
      <c r="A1322" t="s">
        <v>3768</v>
      </c>
      <c r="B1322" t="s">
        <v>3769</v>
      </c>
      <c r="C1322" t="s">
        <v>3770</v>
      </c>
      <c r="D1322" t="s">
        <v>24</v>
      </c>
      <c r="E1322" t="s">
        <v>133</v>
      </c>
      <c r="O1322" t="s">
        <v>161</v>
      </c>
      <c r="Q1322" t="s">
        <v>3771</v>
      </c>
      <c r="R1322" t="s">
        <v>1674</v>
      </c>
      <c r="S1322" t="s">
        <v>1675</v>
      </c>
      <c r="T1322" t="s">
        <v>487</v>
      </c>
    </row>
    <row r="1323" spans="1:20" x14ac:dyDescent="0.2">
      <c r="A1323" t="s">
        <v>3772</v>
      </c>
      <c r="B1323" t="s">
        <v>3773</v>
      </c>
      <c r="C1323" t="s">
        <v>3774</v>
      </c>
      <c r="D1323" t="s">
        <v>24</v>
      </c>
      <c r="E1323" t="s">
        <v>133</v>
      </c>
      <c r="O1323" t="s">
        <v>511</v>
      </c>
      <c r="Q1323" t="s">
        <v>3775</v>
      </c>
      <c r="R1323" t="s">
        <v>1674</v>
      </c>
      <c r="S1323" t="s">
        <v>1675</v>
      </c>
      <c r="T1323" t="s">
        <v>487</v>
      </c>
    </row>
    <row r="1324" spans="1:20" x14ac:dyDescent="0.2">
      <c r="A1324" t="s">
        <v>3776</v>
      </c>
      <c r="B1324" t="s">
        <v>3777</v>
      </c>
      <c r="C1324" t="s">
        <v>3778</v>
      </c>
      <c r="D1324" t="s">
        <v>14</v>
      </c>
      <c r="E1324" t="s">
        <v>133</v>
      </c>
      <c r="K1324" t="s">
        <v>3779</v>
      </c>
      <c r="O1324" t="s">
        <v>161</v>
      </c>
    </row>
    <row r="1325" spans="1:20" x14ac:dyDescent="0.2">
      <c r="A1325" t="s">
        <v>3780</v>
      </c>
      <c r="B1325" t="s">
        <v>3781</v>
      </c>
      <c r="C1325" t="s">
        <v>3782</v>
      </c>
      <c r="D1325" t="s">
        <v>14</v>
      </c>
      <c r="E1325" t="s">
        <v>133</v>
      </c>
      <c r="K1325" t="s">
        <v>3783</v>
      </c>
      <c r="O1325" t="s">
        <v>161</v>
      </c>
    </row>
    <row r="1326" spans="1:20" x14ac:dyDescent="0.2">
      <c r="A1326" t="s">
        <v>3784</v>
      </c>
      <c r="B1326" t="s">
        <v>3785</v>
      </c>
      <c r="C1326" t="s">
        <v>3786</v>
      </c>
      <c r="D1326" t="s">
        <v>24</v>
      </c>
      <c r="E1326" t="s">
        <v>133</v>
      </c>
      <c r="O1326" t="s">
        <v>150</v>
      </c>
      <c r="Q1326" t="s">
        <v>3787</v>
      </c>
      <c r="R1326" t="s">
        <v>1674</v>
      </c>
      <c r="S1326" t="s">
        <v>1675</v>
      </c>
      <c r="T1326" t="s">
        <v>487</v>
      </c>
    </row>
    <row r="1327" spans="1:20" x14ac:dyDescent="0.2">
      <c r="A1327" t="s">
        <v>3788</v>
      </c>
      <c r="B1327" t="s">
        <v>3789</v>
      </c>
      <c r="C1327" t="s">
        <v>3790</v>
      </c>
      <c r="D1327" t="s">
        <v>24</v>
      </c>
      <c r="E1327" t="s">
        <v>133</v>
      </c>
      <c r="O1327" t="s">
        <v>161</v>
      </c>
      <c r="Q1327" t="s">
        <v>3791</v>
      </c>
      <c r="R1327" t="s">
        <v>1674</v>
      </c>
      <c r="S1327" t="s">
        <v>1675</v>
      </c>
      <c r="T1327" t="s">
        <v>487</v>
      </c>
    </row>
    <row r="1328" spans="1:20" x14ac:dyDescent="0.2">
      <c r="A1328" t="s">
        <v>3792</v>
      </c>
      <c r="B1328" t="s">
        <v>3793</v>
      </c>
      <c r="C1328" t="s">
        <v>3794</v>
      </c>
      <c r="D1328" t="s">
        <v>24</v>
      </c>
      <c r="E1328" t="s">
        <v>133</v>
      </c>
      <c r="O1328" t="s">
        <v>511</v>
      </c>
      <c r="Q1328" t="s">
        <v>3795</v>
      </c>
      <c r="R1328" t="s">
        <v>1674</v>
      </c>
      <c r="S1328" t="s">
        <v>1675</v>
      </c>
      <c r="T1328" t="s">
        <v>487</v>
      </c>
    </row>
    <row r="1329" spans="1:20" x14ac:dyDescent="0.2">
      <c r="A1329" t="s">
        <v>3796</v>
      </c>
      <c r="B1329" t="s">
        <v>3797</v>
      </c>
      <c r="C1329" t="s">
        <v>3798</v>
      </c>
      <c r="D1329" t="s">
        <v>14</v>
      </c>
      <c r="E1329" t="s">
        <v>133</v>
      </c>
      <c r="K1329" t="s">
        <v>3799</v>
      </c>
      <c r="O1329" t="s">
        <v>161</v>
      </c>
    </row>
    <row r="1330" spans="1:20" x14ac:dyDescent="0.2">
      <c r="A1330" t="s">
        <v>3800</v>
      </c>
      <c r="B1330" t="s">
        <v>3801</v>
      </c>
      <c r="C1330" t="s">
        <v>3802</v>
      </c>
      <c r="D1330" t="s">
        <v>14</v>
      </c>
      <c r="E1330" t="s">
        <v>133</v>
      </c>
      <c r="K1330" t="s">
        <v>3803</v>
      </c>
      <c r="O1330" t="s">
        <v>161</v>
      </c>
    </row>
    <row r="1331" spans="1:20" x14ac:dyDescent="0.2">
      <c r="A1331" t="s">
        <v>3804</v>
      </c>
      <c r="B1331" t="s">
        <v>3805</v>
      </c>
      <c r="C1331" t="s">
        <v>3806</v>
      </c>
      <c r="D1331" t="s">
        <v>24</v>
      </c>
      <c r="E1331" t="s">
        <v>133</v>
      </c>
      <c r="O1331" t="s">
        <v>150</v>
      </c>
      <c r="Q1331" t="s">
        <v>3807</v>
      </c>
      <c r="R1331" t="s">
        <v>1674</v>
      </c>
      <c r="S1331" t="s">
        <v>1675</v>
      </c>
      <c r="T1331" t="s">
        <v>487</v>
      </c>
    </row>
    <row r="1332" spans="1:20" x14ac:dyDescent="0.2">
      <c r="A1332" t="s">
        <v>3808</v>
      </c>
      <c r="B1332" t="s">
        <v>3809</v>
      </c>
      <c r="C1332" t="s">
        <v>3810</v>
      </c>
      <c r="D1332" t="s">
        <v>24</v>
      </c>
      <c r="E1332" t="s">
        <v>133</v>
      </c>
      <c r="O1332" t="s">
        <v>161</v>
      </c>
      <c r="Q1332" t="s">
        <v>3811</v>
      </c>
      <c r="R1332" t="s">
        <v>1674</v>
      </c>
      <c r="S1332" t="s">
        <v>1675</v>
      </c>
      <c r="T1332" t="s">
        <v>487</v>
      </c>
    </row>
    <row r="1333" spans="1:20" x14ac:dyDescent="0.2">
      <c r="A1333" t="s">
        <v>3812</v>
      </c>
      <c r="B1333" t="s">
        <v>3813</v>
      </c>
      <c r="C1333" t="s">
        <v>3814</v>
      </c>
      <c r="D1333" t="s">
        <v>24</v>
      </c>
      <c r="E1333" t="s">
        <v>133</v>
      </c>
      <c r="O1333" t="s">
        <v>511</v>
      </c>
      <c r="Q1333" t="s">
        <v>3815</v>
      </c>
      <c r="R1333" t="s">
        <v>1674</v>
      </c>
      <c r="S1333" t="s">
        <v>1675</v>
      </c>
      <c r="T1333" t="s">
        <v>487</v>
      </c>
    </row>
    <row r="1334" spans="1:20" x14ac:dyDescent="0.2">
      <c r="A1334" t="s">
        <v>3816</v>
      </c>
      <c r="B1334" t="s">
        <v>3817</v>
      </c>
      <c r="C1334" t="s">
        <v>3818</v>
      </c>
      <c r="D1334" t="s">
        <v>14</v>
      </c>
      <c r="E1334" t="s">
        <v>133</v>
      </c>
      <c r="K1334" t="s">
        <v>3819</v>
      </c>
      <c r="O1334" t="s">
        <v>161</v>
      </c>
    </row>
    <row r="1335" spans="1:20" x14ac:dyDescent="0.2">
      <c r="A1335" t="s">
        <v>3820</v>
      </c>
      <c r="B1335" t="s">
        <v>3821</v>
      </c>
      <c r="C1335" t="s">
        <v>3822</v>
      </c>
      <c r="D1335" t="s">
        <v>14</v>
      </c>
      <c r="E1335" t="s">
        <v>133</v>
      </c>
      <c r="K1335" t="s">
        <v>3823</v>
      </c>
      <c r="O1335" t="s">
        <v>161</v>
      </c>
    </row>
    <row r="1336" spans="1:20" x14ac:dyDescent="0.2">
      <c r="A1336" t="s">
        <v>3824</v>
      </c>
      <c r="B1336" t="s">
        <v>3825</v>
      </c>
      <c r="C1336" t="s">
        <v>3826</v>
      </c>
      <c r="D1336" t="s">
        <v>14</v>
      </c>
      <c r="E1336" t="s">
        <v>133</v>
      </c>
      <c r="K1336" t="s">
        <v>3827</v>
      </c>
      <c r="O1336" t="s">
        <v>161</v>
      </c>
    </row>
    <row r="1337" spans="1:20" x14ac:dyDescent="0.2">
      <c r="A1337" t="s">
        <v>3828</v>
      </c>
      <c r="B1337" t="s">
        <v>3829</v>
      </c>
      <c r="C1337" t="s">
        <v>3830</v>
      </c>
      <c r="D1337" t="s">
        <v>24</v>
      </c>
      <c r="E1337" t="s">
        <v>133</v>
      </c>
      <c r="O1337" t="s">
        <v>150</v>
      </c>
      <c r="Q1337" t="s">
        <v>3831</v>
      </c>
      <c r="R1337" t="s">
        <v>1674</v>
      </c>
      <c r="S1337" t="s">
        <v>1675</v>
      </c>
      <c r="T1337" t="s">
        <v>487</v>
      </c>
    </row>
    <row r="1338" spans="1:20" x14ac:dyDescent="0.2">
      <c r="A1338" t="s">
        <v>3832</v>
      </c>
      <c r="B1338" t="s">
        <v>3833</v>
      </c>
      <c r="C1338" t="s">
        <v>3834</v>
      </c>
      <c r="D1338" t="s">
        <v>24</v>
      </c>
      <c r="E1338" t="s">
        <v>133</v>
      </c>
      <c r="O1338" t="s">
        <v>161</v>
      </c>
      <c r="Q1338" t="s">
        <v>3835</v>
      </c>
      <c r="R1338" t="s">
        <v>1674</v>
      </c>
      <c r="S1338" t="s">
        <v>1675</v>
      </c>
      <c r="T1338" t="s">
        <v>487</v>
      </c>
    </row>
    <row r="1339" spans="1:20" x14ac:dyDescent="0.2">
      <c r="A1339" t="s">
        <v>3836</v>
      </c>
      <c r="B1339" t="s">
        <v>3837</v>
      </c>
      <c r="C1339" t="s">
        <v>3838</v>
      </c>
      <c r="D1339" t="s">
        <v>24</v>
      </c>
      <c r="E1339" t="s">
        <v>133</v>
      </c>
      <c r="O1339" t="s">
        <v>511</v>
      </c>
      <c r="Q1339" t="s">
        <v>3839</v>
      </c>
      <c r="R1339" t="s">
        <v>1674</v>
      </c>
      <c r="S1339" t="s">
        <v>1675</v>
      </c>
      <c r="T1339" t="s">
        <v>487</v>
      </c>
    </row>
    <row r="1340" spans="1:20" x14ac:dyDescent="0.2">
      <c r="A1340" t="s">
        <v>3840</v>
      </c>
      <c r="B1340" t="s">
        <v>3841</v>
      </c>
      <c r="C1340" t="s">
        <v>3842</v>
      </c>
      <c r="D1340" t="s">
        <v>14</v>
      </c>
      <c r="E1340" t="s">
        <v>133</v>
      </c>
      <c r="K1340" t="s">
        <v>3843</v>
      </c>
      <c r="O1340" t="s">
        <v>161</v>
      </c>
    </row>
    <row r="1341" spans="1:20" x14ac:dyDescent="0.2">
      <c r="A1341" t="s">
        <v>3844</v>
      </c>
      <c r="B1341" t="s">
        <v>3845</v>
      </c>
      <c r="C1341" t="s">
        <v>3846</v>
      </c>
      <c r="D1341" t="s">
        <v>14</v>
      </c>
      <c r="E1341" t="s">
        <v>133</v>
      </c>
      <c r="K1341" t="s">
        <v>3847</v>
      </c>
      <c r="O1341" t="s">
        <v>161</v>
      </c>
    </row>
    <row r="1342" spans="1:20" x14ac:dyDescent="0.2">
      <c r="A1342" t="s">
        <v>3848</v>
      </c>
      <c r="B1342" t="s">
        <v>3849</v>
      </c>
      <c r="C1342" t="s">
        <v>3850</v>
      </c>
      <c r="D1342" t="s">
        <v>24</v>
      </c>
      <c r="E1342" t="s">
        <v>133</v>
      </c>
      <c r="O1342" t="s">
        <v>150</v>
      </c>
      <c r="Q1342" t="s">
        <v>3851</v>
      </c>
      <c r="R1342" t="s">
        <v>1674</v>
      </c>
      <c r="S1342" t="s">
        <v>1675</v>
      </c>
      <c r="T1342" t="s">
        <v>487</v>
      </c>
    </row>
    <row r="1343" spans="1:20" x14ac:dyDescent="0.2">
      <c r="A1343" t="s">
        <v>3852</v>
      </c>
      <c r="B1343" t="s">
        <v>3853</v>
      </c>
      <c r="C1343" t="s">
        <v>3854</v>
      </c>
      <c r="D1343" t="s">
        <v>24</v>
      </c>
      <c r="E1343" t="s">
        <v>133</v>
      </c>
      <c r="O1343" t="s">
        <v>161</v>
      </c>
      <c r="Q1343" t="s">
        <v>3855</v>
      </c>
      <c r="R1343" t="s">
        <v>1674</v>
      </c>
      <c r="S1343" t="s">
        <v>1675</v>
      </c>
      <c r="T1343" t="s">
        <v>487</v>
      </c>
    </row>
    <row r="1344" spans="1:20" x14ac:dyDescent="0.2">
      <c r="A1344" t="s">
        <v>3856</v>
      </c>
      <c r="B1344" t="s">
        <v>3857</v>
      </c>
      <c r="C1344" t="s">
        <v>3858</v>
      </c>
      <c r="D1344" t="s">
        <v>24</v>
      </c>
      <c r="E1344" t="s">
        <v>133</v>
      </c>
      <c r="O1344" t="s">
        <v>511</v>
      </c>
      <c r="Q1344" t="s">
        <v>3859</v>
      </c>
      <c r="R1344" t="s">
        <v>1674</v>
      </c>
      <c r="S1344" t="s">
        <v>1675</v>
      </c>
      <c r="T1344" t="s">
        <v>487</v>
      </c>
    </row>
    <row r="1345" spans="1:20" x14ac:dyDescent="0.2">
      <c r="A1345" t="s">
        <v>3860</v>
      </c>
      <c r="B1345" t="s">
        <v>3861</v>
      </c>
      <c r="C1345" t="s">
        <v>3862</v>
      </c>
      <c r="D1345" t="s">
        <v>14</v>
      </c>
      <c r="E1345" t="s">
        <v>133</v>
      </c>
      <c r="K1345" t="s">
        <v>3863</v>
      </c>
      <c r="O1345" t="s">
        <v>161</v>
      </c>
    </row>
    <row r="1346" spans="1:20" x14ac:dyDescent="0.2">
      <c r="A1346" t="s">
        <v>3864</v>
      </c>
      <c r="B1346" t="s">
        <v>3865</v>
      </c>
      <c r="C1346" t="s">
        <v>3866</v>
      </c>
      <c r="D1346" t="s">
        <v>14</v>
      </c>
      <c r="E1346" t="s">
        <v>133</v>
      </c>
      <c r="K1346" t="s">
        <v>3867</v>
      </c>
      <c r="O1346" t="s">
        <v>161</v>
      </c>
    </row>
    <row r="1347" spans="1:20" x14ac:dyDescent="0.2">
      <c r="A1347" t="s">
        <v>3868</v>
      </c>
      <c r="B1347" t="s">
        <v>3869</v>
      </c>
      <c r="C1347" t="s">
        <v>3870</v>
      </c>
      <c r="D1347" t="s">
        <v>24</v>
      </c>
      <c r="E1347" t="s">
        <v>133</v>
      </c>
      <c r="O1347" t="s">
        <v>150</v>
      </c>
      <c r="Q1347" t="s">
        <v>3871</v>
      </c>
      <c r="R1347" t="s">
        <v>1674</v>
      </c>
      <c r="S1347" t="s">
        <v>1675</v>
      </c>
      <c r="T1347" t="s">
        <v>487</v>
      </c>
    </row>
    <row r="1348" spans="1:20" x14ac:dyDescent="0.2">
      <c r="A1348" t="s">
        <v>3872</v>
      </c>
      <c r="B1348" t="s">
        <v>3873</v>
      </c>
      <c r="C1348" t="s">
        <v>3874</v>
      </c>
      <c r="D1348" t="s">
        <v>24</v>
      </c>
      <c r="E1348" t="s">
        <v>133</v>
      </c>
      <c r="O1348" t="s">
        <v>161</v>
      </c>
      <c r="Q1348" t="s">
        <v>3875</v>
      </c>
      <c r="R1348" t="s">
        <v>1674</v>
      </c>
      <c r="S1348" t="s">
        <v>1675</v>
      </c>
      <c r="T1348" t="s">
        <v>487</v>
      </c>
    </row>
    <row r="1349" spans="1:20" x14ac:dyDescent="0.2">
      <c r="A1349" t="s">
        <v>3876</v>
      </c>
      <c r="B1349" t="s">
        <v>3877</v>
      </c>
      <c r="C1349" t="s">
        <v>3878</v>
      </c>
      <c r="D1349" t="s">
        <v>24</v>
      </c>
      <c r="E1349" t="s">
        <v>133</v>
      </c>
      <c r="O1349" t="s">
        <v>511</v>
      </c>
      <c r="Q1349" t="s">
        <v>3879</v>
      </c>
      <c r="R1349" t="s">
        <v>1674</v>
      </c>
      <c r="S1349" t="s">
        <v>1675</v>
      </c>
      <c r="T1349" t="s">
        <v>487</v>
      </c>
    </row>
    <row r="1350" spans="1:20" x14ac:dyDescent="0.2">
      <c r="A1350" t="s">
        <v>3880</v>
      </c>
      <c r="B1350" t="s">
        <v>3881</v>
      </c>
      <c r="C1350" t="s">
        <v>3882</v>
      </c>
      <c r="D1350" t="s">
        <v>14</v>
      </c>
      <c r="E1350" t="s">
        <v>133</v>
      </c>
      <c r="K1350" t="s">
        <v>3883</v>
      </c>
      <c r="O1350" t="s">
        <v>161</v>
      </c>
    </row>
    <row r="1351" spans="1:20" x14ac:dyDescent="0.2">
      <c r="A1351" t="s">
        <v>3884</v>
      </c>
      <c r="B1351" t="s">
        <v>3885</v>
      </c>
      <c r="C1351" t="s">
        <v>3886</v>
      </c>
      <c r="D1351" t="s">
        <v>14</v>
      </c>
      <c r="E1351" t="s">
        <v>133</v>
      </c>
      <c r="K1351" t="s">
        <v>3887</v>
      </c>
      <c r="O1351" t="s">
        <v>161</v>
      </c>
    </row>
    <row r="1352" spans="1:20" x14ac:dyDescent="0.2">
      <c r="A1352" t="s">
        <v>3888</v>
      </c>
      <c r="B1352" t="s">
        <v>3889</v>
      </c>
      <c r="C1352" t="s">
        <v>3890</v>
      </c>
      <c r="D1352" t="s">
        <v>24</v>
      </c>
      <c r="E1352" t="s">
        <v>133</v>
      </c>
      <c r="O1352" t="s">
        <v>150</v>
      </c>
      <c r="Q1352" t="s">
        <v>3891</v>
      </c>
      <c r="R1352" t="s">
        <v>1674</v>
      </c>
      <c r="S1352" t="s">
        <v>1675</v>
      </c>
      <c r="T1352" t="s">
        <v>487</v>
      </c>
    </row>
    <row r="1353" spans="1:20" x14ac:dyDescent="0.2">
      <c r="A1353" t="s">
        <v>3892</v>
      </c>
      <c r="B1353" t="s">
        <v>3893</v>
      </c>
      <c r="C1353" t="s">
        <v>3894</v>
      </c>
      <c r="D1353" t="s">
        <v>24</v>
      </c>
      <c r="E1353" t="s">
        <v>133</v>
      </c>
      <c r="O1353" t="s">
        <v>161</v>
      </c>
      <c r="Q1353" t="s">
        <v>3895</v>
      </c>
      <c r="R1353" t="s">
        <v>1674</v>
      </c>
      <c r="S1353" t="s">
        <v>1675</v>
      </c>
      <c r="T1353" t="s">
        <v>487</v>
      </c>
    </row>
    <row r="1354" spans="1:20" x14ac:dyDescent="0.2">
      <c r="A1354" t="s">
        <v>3896</v>
      </c>
      <c r="B1354" t="s">
        <v>3897</v>
      </c>
      <c r="C1354" t="s">
        <v>3898</v>
      </c>
      <c r="D1354" t="s">
        <v>24</v>
      </c>
      <c r="E1354" t="s">
        <v>133</v>
      </c>
      <c r="O1354" t="s">
        <v>511</v>
      </c>
      <c r="Q1354" t="s">
        <v>3899</v>
      </c>
      <c r="R1354" t="s">
        <v>1674</v>
      </c>
      <c r="S1354" t="s">
        <v>1675</v>
      </c>
      <c r="T1354" t="s">
        <v>487</v>
      </c>
    </row>
    <row r="1355" spans="1:20" x14ac:dyDescent="0.2">
      <c r="A1355" t="s">
        <v>3900</v>
      </c>
      <c r="B1355" t="s">
        <v>3901</v>
      </c>
      <c r="C1355" t="s">
        <v>3902</v>
      </c>
      <c r="D1355" t="s">
        <v>14</v>
      </c>
      <c r="E1355" t="s">
        <v>133</v>
      </c>
      <c r="K1355" t="s">
        <v>3903</v>
      </c>
      <c r="O1355" t="s">
        <v>161</v>
      </c>
    </row>
    <row r="1356" spans="1:20" x14ac:dyDescent="0.2">
      <c r="A1356" t="s">
        <v>3904</v>
      </c>
      <c r="B1356" t="s">
        <v>3905</v>
      </c>
      <c r="C1356" t="s">
        <v>3906</v>
      </c>
      <c r="D1356" t="s">
        <v>14</v>
      </c>
      <c r="E1356" t="s">
        <v>133</v>
      </c>
      <c r="K1356" t="s">
        <v>3907</v>
      </c>
      <c r="O1356" t="s">
        <v>161</v>
      </c>
    </row>
    <row r="1357" spans="1:20" x14ac:dyDescent="0.2">
      <c r="A1357" t="s">
        <v>3908</v>
      </c>
      <c r="B1357" t="s">
        <v>3909</v>
      </c>
      <c r="C1357" t="s">
        <v>3910</v>
      </c>
      <c r="D1357" t="s">
        <v>14</v>
      </c>
      <c r="E1357" t="s">
        <v>133</v>
      </c>
      <c r="K1357" t="s">
        <v>3911</v>
      </c>
      <c r="O1357" t="s">
        <v>161</v>
      </c>
    </row>
    <row r="1358" spans="1:20" x14ac:dyDescent="0.2">
      <c r="A1358" t="s">
        <v>3912</v>
      </c>
      <c r="B1358" t="s">
        <v>3913</v>
      </c>
      <c r="C1358" t="s">
        <v>3914</v>
      </c>
      <c r="D1358" t="s">
        <v>24</v>
      </c>
      <c r="E1358" t="s">
        <v>133</v>
      </c>
      <c r="O1358" t="s">
        <v>150</v>
      </c>
      <c r="Q1358" t="s">
        <v>3915</v>
      </c>
      <c r="R1358" t="s">
        <v>1674</v>
      </c>
      <c r="S1358" t="s">
        <v>1675</v>
      </c>
      <c r="T1358" t="s">
        <v>487</v>
      </c>
    </row>
    <row r="1359" spans="1:20" x14ac:dyDescent="0.2">
      <c r="A1359" t="s">
        <v>3916</v>
      </c>
      <c r="B1359" t="s">
        <v>3917</v>
      </c>
      <c r="C1359" t="s">
        <v>3918</v>
      </c>
      <c r="D1359" t="s">
        <v>24</v>
      </c>
      <c r="E1359" t="s">
        <v>133</v>
      </c>
      <c r="O1359" t="s">
        <v>161</v>
      </c>
      <c r="Q1359" t="s">
        <v>3919</v>
      </c>
      <c r="R1359" t="s">
        <v>1674</v>
      </c>
      <c r="S1359" t="s">
        <v>1675</v>
      </c>
      <c r="T1359" t="s">
        <v>487</v>
      </c>
    </row>
    <row r="1360" spans="1:20" x14ac:dyDescent="0.2">
      <c r="A1360" t="s">
        <v>3920</v>
      </c>
      <c r="B1360" t="s">
        <v>3921</v>
      </c>
      <c r="C1360" t="s">
        <v>3922</v>
      </c>
      <c r="D1360" t="s">
        <v>24</v>
      </c>
      <c r="E1360" t="s">
        <v>133</v>
      </c>
      <c r="O1360" t="s">
        <v>511</v>
      </c>
      <c r="Q1360" t="s">
        <v>3923</v>
      </c>
      <c r="R1360" t="s">
        <v>1674</v>
      </c>
      <c r="S1360" t="s">
        <v>1675</v>
      </c>
      <c r="T1360" t="s">
        <v>487</v>
      </c>
    </row>
    <row r="1361" spans="1:20" x14ac:dyDescent="0.2">
      <c r="A1361" t="s">
        <v>3924</v>
      </c>
      <c r="B1361" t="s">
        <v>3925</v>
      </c>
      <c r="C1361" t="s">
        <v>3926</v>
      </c>
      <c r="D1361" t="s">
        <v>14</v>
      </c>
      <c r="E1361" t="s">
        <v>133</v>
      </c>
      <c r="K1361" t="s">
        <v>3927</v>
      </c>
      <c r="O1361" t="s">
        <v>161</v>
      </c>
    </row>
    <row r="1362" spans="1:20" x14ac:dyDescent="0.2">
      <c r="A1362" t="s">
        <v>3928</v>
      </c>
      <c r="B1362" t="s">
        <v>3929</v>
      </c>
      <c r="C1362" t="s">
        <v>3930</v>
      </c>
      <c r="D1362" t="s">
        <v>14</v>
      </c>
      <c r="E1362" t="s">
        <v>133</v>
      </c>
      <c r="K1362" t="s">
        <v>3931</v>
      </c>
      <c r="O1362" t="s">
        <v>161</v>
      </c>
    </row>
    <row r="1363" spans="1:20" x14ac:dyDescent="0.2">
      <c r="A1363" t="s">
        <v>3932</v>
      </c>
      <c r="B1363" t="s">
        <v>3933</v>
      </c>
      <c r="C1363" t="s">
        <v>3934</v>
      </c>
      <c r="D1363" t="s">
        <v>24</v>
      </c>
      <c r="E1363" t="s">
        <v>133</v>
      </c>
      <c r="O1363" t="s">
        <v>150</v>
      </c>
      <c r="Q1363" t="s">
        <v>3935</v>
      </c>
      <c r="R1363" t="s">
        <v>1674</v>
      </c>
      <c r="S1363" t="s">
        <v>1675</v>
      </c>
      <c r="T1363" t="s">
        <v>487</v>
      </c>
    </row>
    <row r="1364" spans="1:20" x14ac:dyDescent="0.2">
      <c r="A1364" t="s">
        <v>3936</v>
      </c>
      <c r="B1364" t="s">
        <v>3937</v>
      </c>
      <c r="C1364" t="s">
        <v>3938</v>
      </c>
      <c r="D1364" t="s">
        <v>24</v>
      </c>
      <c r="E1364" t="s">
        <v>133</v>
      </c>
      <c r="O1364" t="s">
        <v>161</v>
      </c>
      <c r="Q1364" t="s">
        <v>3939</v>
      </c>
      <c r="R1364" t="s">
        <v>1674</v>
      </c>
      <c r="S1364" t="s">
        <v>1675</v>
      </c>
      <c r="T1364" t="s">
        <v>487</v>
      </c>
    </row>
    <row r="1365" spans="1:20" x14ac:dyDescent="0.2">
      <c r="A1365" t="s">
        <v>3940</v>
      </c>
      <c r="B1365" t="s">
        <v>3941</v>
      </c>
      <c r="C1365" t="s">
        <v>3942</v>
      </c>
      <c r="D1365" t="s">
        <v>24</v>
      </c>
      <c r="E1365" t="s">
        <v>133</v>
      </c>
      <c r="O1365" t="s">
        <v>511</v>
      </c>
      <c r="Q1365" t="s">
        <v>3943</v>
      </c>
      <c r="R1365" t="s">
        <v>1674</v>
      </c>
      <c r="S1365" t="s">
        <v>1675</v>
      </c>
      <c r="T1365" t="s">
        <v>487</v>
      </c>
    </row>
    <row r="1366" spans="1:20" x14ac:dyDescent="0.2">
      <c r="A1366" t="s">
        <v>3944</v>
      </c>
      <c r="B1366" t="s">
        <v>3945</v>
      </c>
      <c r="C1366" t="s">
        <v>3946</v>
      </c>
      <c r="D1366" t="s">
        <v>14</v>
      </c>
      <c r="E1366" t="s">
        <v>133</v>
      </c>
      <c r="K1366" t="s">
        <v>3947</v>
      </c>
      <c r="O1366" t="s">
        <v>161</v>
      </c>
    </row>
    <row r="1367" spans="1:20" x14ac:dyDescent="0.2">
      <c r="A1367" t="s">
        <v>3948</v>
      </c>
      <c r="B1367" t="s">
        <v>3949</v>
      </c>
      <c r="C1367" t="s">
        <v>3950</v>
      </c>
      <c r="D1367" t="s">
        <v>14</v>
      </c>
      <c r="E1367" t="s">
        <v>133</v>
      </c>
      <c r="K1367" t="s">
        <v>3951</v>
      </c>
      <c r="O1367" t="s">
        <v>161</v>
      </c>
    </row>
    <row r="1368" spans="1:20" x14ac:dyDescent="0.2">
      <c r="A1368" t="s">
        <v>3952</v>
      </c>
      <c r="B1368" t="s">
        <v>3953</v>
      </c>
      <c r="C1368" t="s">
        <v>3954</v>
      </c>
      <c r="D1368" t="s">
        <v>24</v>
      </c>
      <c r="E1368" t="s">
        <v>133</v>
      </c>
      <c r="O1368" t="s">
        <v>150</v>
      </c>
      <c r="Q1368" t="s">
        <v>3955</v>
      </c>
      <c r="R1368" t="s">
        <v>1674</v>
      </c>
      <c r="S1368" t="s">
        <v>1675</v>
      </c>
      <c r="T1368" t="s">
        <v>487</v>
      </c>
    </row>
    <row r="1369" spans="1:20" x14ac:dyDescent="0.2">
      <c r="A1369" t="s">
        <v>3956</v>
      </c>
      <c r="B1369" t="s">
        <v>3957</v>
      </c>
      <c r="C1369" t="s">
        <v>3958</v>
      </c>
      <c r="D1369" t="s">
        <v>24</v>
      </c>
      <c r="E1369" t="s">
        <v>133</v>
      </c>
      <c r="O1369" t="s">
        <v>161</v>
      </c>
      <c r="Q1369" t="s">
        <v>3959</v>
      </c>
      <c r="R1369" t="s">
        <v>1674</v>
      </c>
      <c r="S1369" t="s">
        <v>1675</v>
      </c>
      <c r="T1369" t="s">
        <v>487</v>
      </c>
    </row>
    <row r="1370" spans="1:20" x14ac:dyDescent="0.2">
      <c r="A1370" t="s">
        <v>3960</v>
      </c>
      <c r="B1370" t="s">
        <v>3961</v>
      </c>
      <c r="C1370" t="s">
        <v>3962</v>
      </c>
      <c r="D1370" t="s">
        <v>24</v>
      </c>
      <c r="E1370" t="s">
        <v>133</v>
      </c>
      <c r="O1370" t="s">
        <v>511</v>
      </c>
      <c r="Q1370" t="s">
        <v>3963</v>
      </c>
      <c r="R1370" t="s">
        <v>1674</v>
      </c>
      <c r="S1370" t="s">
        <v>1675</v>
      </c>
      <c r="T1370" t="s">
        <v>487</v>
      </c>
    </row>
    <row r="1371" spans="1:20" x14ac:dyDescent="0.2">
      <c r="A1371" t="s">
        <v>3964</v>
      </c>
      <c r="B1371" t="s">
        <v>3965</v>
      </c>
      <c r="C1371" t="s">
        <v>3966</v>
      </c>
      <c r="D1371" t="s">
        <v>14</v>
      </c>
      <c r="E1371" t="s">
        <v>133</v>
      </c>
      <c r="K1371" t="s">
        <v>3967</v>
      </c>
      <c r="O1371" t="s">
        <v>161</v>
      </c>
    </row>
    <row r="1372" spans="1:20" x14ac:dyDescent="0.2">
      <c r="A1372" t="s">
        <v>3968</v>
      </c>
      <c r="B1372" t="s">
        <v>3969</v>
      </c>
      <c r="C1372" t="s">
        <v>3970</v>
      </c>
      <c r="D1372" t="s">
        <v>14</v>
      </c>
      <c r="E1372" t="s">
        <v>133</v>
      </c>
      <c r="K1372" t="s">
        <v>3971</v>
      </c>
      <c r="O1372" t="s">
        <v>161</v>
      </c>
    </row>
    <row r="1373" spans="1:20" x14ac:dyDescent="0.2">
      <c r="A1373" t="s">
        <v>3972</v>
      </c>
      <c r="B1373" t="s">
        <v>3973</v>
      </c>
      <c r="C1373" t="s">
        <v>3974</v>
      </c>
      <c r="D1373" t="s">
        <v>24</v>
      </c>
      <c r="E1373" t="s">
        <v>133</v>
      </c>
      <c r="O1373" t="s">
        <v>150</v>
      </c>
      <c r="Q1373" t="s">
        <v>3975</v>
      </c>
      <c r="R1373" t="s">
        <v>1674</v>
      </c>
      <c r="S1373" t="s">
        <v>1675</v>
      </c>
      <c r="T1373" t="s">
        <v>487</v>
      </c>
    </row>
    <row r="1374" spans="1:20" x14ac:dyDescent="0.2">
      <c r="A1374" t="s">
        <v>3976</v>
      </c>
      <c r="B1374" t="s">
        <v>3977</v>
      </c>
      <c r="C1374" t="s">
        <v>3978</v>
      </c>
      <c r="D1374" t="s">
        <v>24</v>
      </c>
      <c r="E1374" t="s">
        <v>133</v>
      </c>
      <c r="O1374" t="s">
        <v>161</v>
      </c>
      <c r="Q1374" t="s">
        <v>3979</v>
      </c>
      <c r="R1374" t="s">
        <v>1674</v>
      </c>
      <c r="S1374" t="s">
        <v>1675</v>
      </c>
      <c r="T1374" t="s">
        <v>487</v>
      </c>
    </row>
    <row r="1375" spans="1:20" x14ac:dyDescent="0.2">
      <c r="A1375" t="s">
        <v>3980</v>
      </c>
      <c r="B1375" t="s">
        <v>3981</v>
      </c>
      <c r="C1375" t="s">
        <v>3982</v>
      </c>
      <c r="D1375" t="s">
        <v>24</v>
      </c>
      <c r="E1375" t="s">
        <v>133</v>
      </c>
      <c r="O1375" t="s">
        <v>511</v>
      </c>
      <c r="Q1375" t="s">
        <v>3983</v>
      </c>
      <c r="R1375" t="s">
        <v>1674</v>
      </c>
      <c r="S1375" t="s">
        <v>1675</v>
      </c>
      <c r="T1375" t="s">
        <v>487</v>
      </c>
    </row>
    <row r="1376" spans="1:20" x14ac:dyDescent="0.2">
      <c r="A1376" t="s">
        <v>3984</v>
      </c>
      <c r="B1376" t="s">
        <v>3985</v>
      </c>
      <c r="C1376" t="s">
        <v>3986</v>
      </c>
      <c r="D1376" t="s">
        <v>14</v>
      </c>
      <c r="E1376" t="s">
        <v>133</v>
      </c>
      <c r="K1376" t="s">
        <v>3987</v>
      </c>
      <c r="O1376" t="s">
        <v>161</v>
      </c>
    </row>
    <row r="1377" spans="1:20" x14ac:dyDescent="0.2">
      <c r="A1377" t="s">
        <v>3988</v>
      </c>
      <c r="B1377" t="s">
        <v>3989</v>
      </c>
      <c r="C1377" t="s">
        <v>3990</v>
      </c>
      <c r="D1377" t="s">
        <v>14</v>
      </c>
      <c r="E1377" t="s">
        <v>133</v>
      </c>
      <c r="K1377" t="s">
        <v>3991</v>
      </c>
      <c r="O1377" t="s">
        <v>161</v>
      </c>
    </row>
    <row r="1378" spans="1:20" x14ac:dyDescent="0.2">
      <c r="A1378" t="s">
        <v>3992</v>
      </c>
      <c r="B1378" t="s">
        <v>3993</v>
      </c>
      <c r="C1378" t="s">
        <v>3994</v>
      </c>
      <c r="D1378" t="s">
        <v>24</v>
      </c>
      <c r="E1378" t="s">
        <v>133</v>
      </c>
      <c r="O1378" t="s">
        <v>150</v>
      </c>
      <c r="Q1378" t="s">
        <v>3995</v>
      </c>
      <c r="R1378" t="s">
        <v>1674</v>
      </c>
      <c r="S1378" t="s">
        <v>1675</v>
      </c>
      <c r="T1378" t="s">
        <v>487</v>
      </c>
    </row>
    <row r="1379" spans="1:20" x14ac:dyDescent="0.2">
      <c r="A1379" t="s">
        <v>3996</v>
      </c>
      <c r="B1379" t="s">
        <v>3997</v>
      </c>
      <c r="C1379" t="s">
        <v>3998</v>
      </c>
      <c r="D1379" t="s">
        <v>24</v>
      </c>
      <c r="E1379" t="s">
        <v>133</v>
      </c>
      <c r="O1379" t="s">
        <v>161</v>
      </c>
      <c r="Q1379" t="s">
        <v>3999</v>
      </c>
      <c r="R1379" t="s">
        <v>1674</v>
      </c>
      <c r="S1379" t="s">
        <v>1675</v>
      </c>
      <c r="T1379" t="s">
        <v>487</v>
      </c>
    </row>
    <row r="1380" spans="1:20" x14ac:dyDescent="0.2">
      <c r="A1380" t="s">
        <v>4000</v>
      </c>
      <c r="B1380" t="s">
        <v>4001</v>
      </c>
      <c r="C1380" t="s">
        <v>4002</v>
      </c>
      <c r="D1380" t="s">
        <v>24</v>
      </c>
      <c r="E1380" t="s">
        <v>133</v>
      </c>
      <c r="O1380" t="s">
        <v>511</v>
      </c>
      <c r="Q1380" t="s">
        <v>4003</v>
      </c>
      <c r="R1380" t="s">
        <v>1674</v>
      </c>
      <c r="S1380" t="s">
        <v>1675</v>
      </c>
      <c r="T1380" t="s">
        <v>487</v>
      </c>
    </row>
    <row r="1381" spans="1:20" x14ac:dyDescent="0.2">
      <c r="A1381" t="s">
        <v>4004</v>
      </c>
      <c r="B1381" t="s">
        <v>4005</v>
      </c>
      <c r="C1381" t="s">
        <v>4006</v>
      </c>
      <c r="D1381" t="s">
        <v>14</v>
      </c>
      <c r="E1381" t="s">
        <v>133</v>
      </c>
      <c r="K1381" t="s">
        <v>4007</v>
      </c>
      <c r="O1381" t="s">
        <v>161</v>
      </c>
    </row>
    <row r="1382" spans="1:20" x14ac:dyDescent="0.2">
      <c r="A1382" t="s">
        <v>4008</v>
      </c>
      <c r="B1382" t="s">
        <v>4009</v>
      </c>
      <c r="C1382" t="s">
        <v>4010</v>
      </c>
      <c r="D1382" t="s">
        <v>14</v>
      </c>
      <c r="E1382" t="s">
        <v>133</v>
      </c>
      <c r="K1382" t="s">
        <v>4011</v>
      </c>
      <c r="O1382" t="s">
        <v>161</v>
      </c>
    </row>
    <row r="1383" spans="1:20" x14ac:dyDescent="0.2">
      <c r="A1383" t="s">
        <v>4012</v>
      </c>
      <c r="B1383" t="s">
        <v>4013</v>
      </c>
      <c r="C1383" t="s">
        <v>4014</v>
      </c>
      <c r="D1383" t="s">
        <v>24</v>
      </c>
      <c r="E1383" t="s">
        <v>133</v>
      </c>
      <c r="O1383" t="s">
        <v>150</v>
      </c>
      <c r="Q1383" t="s">
        <v>4015</v>
      </c>
      <c r="R1383" t="s">
        <v>1674</v>
      </c>
      <c r="S1383" t="s">
        <v>1675</v>
      </c>
      <c r="T1383" t="s">
        <v>487</v>
      </c>
    </row>
    <row r="1384" spans="1:20" x14ac:dyDescent="0.2">
      <c r="A1384" t="s">
        <v>4016</v>
      </c>
      <c r="B1384" t="s">
        <v>4017</v>
      </c>
      <c r="C1384" t="s">
        <v>4018</v>
      </c>
      <c r="D1384" t="s">
        <v>24</v>
      </c>
      <c r="E1384" t="s">
        <v>133</v>
      </c>
      <c r="O1384" t="s">
        <v>161</v>
      </c>
      <c r="Q1384" t="s">
        <v>4019</v>
      </c>
      <c r="R1384" t="s">
        <v>1674</v>
      </c>
      <c r="S1384" t="s">
        <v>1675</v>
      </c>
      <c r="T1384" t="s">
        <v>487</v>
      </c>
    </row>
    <row r="1385" spans="1:20" x14ac:dyDescent="0.2">
      <c r="A1385" t="s">
        <v>4020</v>
      </c>
      <c r="B1385" t="s">
        <v>4021</v>
      </c>
      <c r="C1385" t="s">
        <v>4022</v>
      </c>
      <c r="D1385" t="s">
        <v>24</v>
      </c>
      <c r="E1385" t="s">
        <v>133</v>
      </c>
      <c r="O1385" t="s">
        <v>511</v>
      </c>
      <c r="Q1385" t="s">
        <v>4023</v>
      </c>
      <c r="R1385" t="s">
        <v>1674</v>
      </c>
      <c r="S1385" t="s">
        <v>1675</v>
      </c>
      <c r="T1385" t="s">
        <v>487</v>
      </c>
    </row>
    <row r="1386" spans="1:20" x14ac:dyDescent="0.2">
      <c r="A1386" t="s">
        <v>4024</v>
      </c>
      <c r="B1386" t="s">
        <v>4025</v>
      </c>
      <c r="C1386" t="s">
        <v>4026</v>
      </c>
      <c r="D1386" t="s">
        <v>14</v>
      </c>
      <c r="E1386" t="s">
        <v>133</v>
      </c>
      <c r="K1386" t="s">
        <v>4027</v>
      </c>
      <c r="O1386" t="s">
        <v>161</v>
      </c>
    </row>
    <row r="1387" spans="1:20" x14ac:dyDescent="0.2">
      <c r="A1387" t="s">
        <v>4028</v>
      </c>
      <c r="B1387" t="s">
        <v>4029</v>
      </c>
      <c r="C1387" t="s">
        <v>4030</v>
      </c>
      <c r="D1387" t="s">
        <v>14</v>
      </c>
      <c r="E1387" t="s">
        <v>133</v>
      </c>
      <c r="K1387" t="s">
        <v>4031</v>
      </c>
      <c r="O1387" t="s">
        <v>161</v>
      </c>
    </row>
    <row r="1388" spans="1:20" x14ac:dyDescent="0.2">
      <c r="A1388" t="s">
        <v>4032</v>
      </c>
      <c r="B1388" t="s">
        <v>4033</v>
      </c>
      <c r="C1388" t="s">
        <v>4034</v>
      </c>
      <c r="D1388" t="s">
        <v>24</v>
      </c>
      <c r="E1388" t="s">
        <v>133</v>
      </c>
      <c r="O1388" t="s">
        <v>150</v>
      </c>
      <c r="Q1388" t="s">
        <v>4035</v>
      </c>
      <c r="R1388" t="s">
        <v>1674</v>
      </c>
      <c r="S1388" t="s">
        <v>1675</v>
      </c>
      <c r="T1388" t="s">
        <v>487</v>
      </c>
    </row>
    <row r="1389" spans="1:20" x14ac:dyDescent="0.2">
      <c r="A1389" t="s">
        <v>4036</v>
      </c>
      <c r="B1389" t="s">
        <v>4037</v>
      </c>
      <c r="C1389" t="s">
        <v>4038</v>
      </c>
      <c r="D1389" t="s">
        <v>24</v>
      </c>
      <c r="E1389" t="s">
        <v>133</v>
      </c>
      <c r="O1389" t="s">
        <v>161</v>
      </c>
      <c r="Q1389" t="s">
        <v>4039</v>
      </c>
      <c r="R1389" t="s">
        <v>1674</v>
      </c>
      <c r="S1389" t="s">
        <v>1675</v>
      </c>
      <c r="T1389" t="s">
        <v>487</v>
      </c>
    </row>
    <row r="1390" spans="1:20" x14ac:dyDescent="0.2">
      <c r="A1390" t="s">
        <v>4040</v>
      </c>
      <c r="B1390" t="s">
        <v>4041</v>
      </c>
      <c r="C1390" t="s">
        <v>4042</v>
      </c>
      <c r="D1390" t="s">
        <v>24</v>
      </c>
      <c r="E1390" t="s">
        <v>133</v>
      </c>
      <c r="O1390" t="s">
        <v>511</v>
      </c>
      <c r="Q1390" t="s">
        <v>4043</v>
      </c>
      <c r="R1390" t="s">
        <v>1674</v>
      </c>
      <c r="S1390" t="s">
        <v>1675</v>
      </c>
      <c r="T1390" t="s">
        <v>487</v>
      </c>
    </row>
    <row r="1391" spans="1:20" x14ac:dyDescent="0.2">
      <c r="A1391" t="s">
        <v>4044</v>
      </c>
      <c r="B1391" t="s">
        <v>4045</v>
      </c>
      <c r="C1391" t="s">
        <v>4046</v>
      </c>
      <c r="D1391" t="s">
        <v>14</v>
      </c>
      <c r="E1391" t="s">
        <v>133</v>
      </c>
      <c r="K1391" t="s">
        <v>4047</v>
      </c>
      <c r="O1391" t="s">
        <v>161</v>
      </c>
    </row>
    <row r="1392" spans="1:20" x14ac:dyDescent="0.2">
      <c r="A1392" t="s">
        <v>4048</v>
      </c>
      <c r="B1392" t="s">
        <v>4049</v>
      </c>
      <c r="C1392" t="s">
        <v>4050</v>
      </c>
      <c r="D1392" t="s">
        <v>14</v>
      </c>
      <c r="E1392" t="s">
        <v>133</v>
      </c>
      <c r="K1392" t="s">
        <v>4051</v>
      </c>
      <c r="O1392" t="s">
        <v>161</v>
      </c>
    </row>
    <row r="1393" spans="1:20" x14ac:dyDescent="0.2">
      <c r="A1393" t="s">
        <v>4052</v>
      </c>
      <c r="B1393" t="s">
        <v>4053</v>
      </c>
      <c r="C1393" t="s">
        <v>4054</v>
      </c>
      <c r="D1393" t="s">
        <v>14</v>
      </c>
      <c r="E1393" t="s">
        <v>133</v>
      </c>
      <c r="K1393" t="s">
        <v>4055</v>
      </c>
      <c r="O1393" t="s">
        <v>161</v>
      </c>
    </row>
    <row r="1394" spans="1:20" x14ac:dyDescent="0.2">
      <c r="A1394" t="s">
        <v>4056</v>
      </c>
      <c r="B1394" t="s">
        <v>4057</v>
      </c>
      <c r="C1394" t="s">
        <v>4058</v>
      </c>
      <c r="D1394" t="s">
        <v>24</v>
      </c>
      <c r="E1394" t="s">
        <v>133</v>
      </c>
      <c r="O1394" t="s">
        <v>150</v>
      </c>
      <c r="Q1394" t="s">
        <v>4059</v>
      </c>
      <c r="R1394" t="s">
        <v>1674</v>
      </c>
      <c r="S1394" t="s">
        <v>1675</v>
      </c>
      <c r="T1394" t="s">
        <v>487</v>
      </c>
    </row>
    <row r="1395" spans="1:20" x14ac:dyDescent="0.2">
      <c r="A1395" t="s">
        <v>4060</v>
      </c>
      <c r="B1395" t="s">
        <v>4061</v>
      </c>
      <c r="C1395" t="s">
        <v>4062</v>
      </c>
      <c r="D1395" t="s">
        <v>24</v>
      </c>
      <c r="E1395" t="s">
        <v>133</v>
      </c>
      <c r="O1395" t="s">
        <v>161</v>
      </c>
      <c r="Q1395" t="s">
        <v>4063</v>
      </c>
      <c r="R1395" t="s">
        <v>1674</v>
      </c>
      <c r="S1395" t="s">
        <v>1675</v>
      </c>
      <c r="T1395" t="s">
        <v>487</v>
      </c>
    </row>
    <row r="1396" spans="1:20" x14ac:dyDescent="0.2">
      <c r="A1396" t="s">
        <v>4064</v>
      </c>
      <c r="B1396" t="s">
        <v>4065</v>
      </c>
      <c r="C1396" t="s">
        <v>4066</v>
      </c>
      <c r="D1396" t="s">
        <v>24</v>
      </c>
      <c r="E1396" t="s">
        <v>133</v>
      </c>
      <c r="O1396" t="s">
        <v>511</v>
      </c>
      <c r="Q1396" t="s">
        <v>4067</v>
      </c>
      <c r="R1396" t="s">
        <v>1674</v>
      </c>
      <c r="S1396" t="s">
        <v>1675</v>
      </c>
      <c r="T1396" t="s">
        <v>487</v>
      </c>
    </row>
    <row r="1397" spans="1:20" x14ac:dyDescent="0.2">
      <c r="A1397" t="s">
        <v>4068</v>
      </c>
      <c r="B1397" t="s">
        <v>4069</v>
      </c>
      <c r="C1397" t="s">
        <v>4070</v>
      </c>
      <c r="D1397" t="s">
        <v>14</v>
      </c>
      <c r="E1397" t="s">
        <v>133</v>
      </c>
      <c r="K1397" t="s">
        <v>4071</v>
      </c>
      <c r="O1397" t="s">
        <v>161</v>
      </c>
    </row>
    <row r="1398" spans="1:20" x14ac:dyDescent="0.2">
      <c r="A1398" t="s">
        <v>4072</v>
      </c>
      <c r="B1398" t="s">
        <v>4073</v>
      </c>
      <c r="C1398" t="s">
        <v>4074</v>
      </c>
      <c r="D1398" t="s">
        <v>14</v>
      </c>
      <c r="E1398" t="s">
        <v>133</v>
      </c>
      <c r="K1398" t="s">
        <v>4075</v>
      </c>
      <c r="O1398" t="s">
        <v>161</v>
      </c>
    </row>
    <row r="1399" spans="1:20" x14ac:dyDescent="0.2">
      <c r="A1399" t="s">
        <v>4076</v>
      </c>
      <c r="B1399" t="s">
        <v>4077</v>
      </c>
      <c r="C1399" t="s">
        <v>4078</v>
      </c>
      <c r="D1399" t="s">
        <v>24</v>
      </c>
      <c r="E1399" t="s">
        <v>133</v>
      </c>
      <c r="O1399" t="s">
        <v>150</v>
      </c>
      <c r="Q1399" t="s">
        <v>4079</v>
      </c>
      <c r="R1399" t="s">
        <v>1674</v>
      </c>
      <c r="S1399" t="s">
        <v>1675</v>
      </c>
      <c r="T1399" t="s">
        <v>487</v>
      </c>
    </row>
    <row r="1400" spans="1:20" x14ac:dyDescent="0.2">
      <c r="A1400" t="s">
        <v>4080</v>
      </c>
      <c r="B1400" t="s">
        <v>4081</v>
      </c>
      <c r="C1400" t="s">
        <v>4082</v>
      </c>
      <c r="D1400" t="s">
        <v>24</v>
      </c>
      <c r="E1400" t="s">
        <v>133</v>
      </c>
      <c r="O1400" t="s">
        <v>161</v>
      </c>
      <c r="Q1400" t="s">
        <v>4083</v>
      </c>
      <c r="R1400" t="s">
        <v>1674</v>
      </c>
      <c r="S1400" t="s">
        <v>1675</v>
      </c>
      <c r="T1400" t="s">
        <v>487</v>
      </c>
    </row>
    <row r="1401" spans="1:20" x14ac:dyDescent="0.2">
      <c r="A1401" t="s">
        <v>4084</v>
      </c>
      <c r="B1401" t="s">
        <v>4085</v>
      </c>
      <c r="C1401" t="s">
        <v>4086</v>
      </c>
      <c r="D1401" t="s">
        <v>24</v>
      </c>
      <c r="E1401" t="s">
        <v>133</v>
      </c>
      <c r="O1401" t="s">
        <v>511</v>
      </c>
      <c r="Q1401" t="s">
        <v>4087</v>
      </c>
      <c r="R1401" t="s">
        <v>1674</v>
      </c>
      <c r="S1401" t="s">
        <v>1675</v>
      </c>
      <c r="T1401" t="s">
        <v>487</v>
      </c>
    </row>
    <row r="1402" spans="1:20" x14ac:dyDescent="0.2">
      <c r="A1402" t="s">
        <v>4088</v>
      </c>
      <c r="B1402" t="s">
        <v>4089</v>
      </c>
      <c r="C1402" t="s">
        <v>4090</v>
      </c>
      <c r="D1402" t="s">
        <v>14</v>
      </c>
      <c r="E1402" t="s">
        <v>133</v>
      </c>
      <c r="K1402" t="s">
        <v>4091</v>
      </c>
      <c r="O1402" t="s">
        <v>161</v>
      </c>
    </row>
    <row r="1403" spans="1:20" x14ac:dyDescent="0.2">
      <c r="A1403" t="s">
        <v>4092</v>
      </c>
      <c r="B1403" t="s">
        <v>4093</v>
      </c>
      <c r="C1403" t="s">
        <v>4094</v>
      </c>
      <c r="D1403" t="s">
        <v>14</v>
      </c>
      <c r="E1403" t="s">
        <v>133</v>
      </c>
      <c r="K1403" t="s">
        <v>4095</v>
      </c>
      <c r="O1403" t="s">
        <v>161</v>
      </c>
    </row>
    <row r="1404" spans="1:20" x14ac:dyDescent="0.2">
      <c r="A1404" t="s">
        <v>4096</v>
      </c>
      <c r="B1404" t="s">
        <v>4097</v>
      </c>
      <c r="C1404" t="s">
        <v>4098</v>
      </c>
      <c r="D1404" t="s">
        <v>24</v>
      </c>
      <c r="E1404" t="s">
        <v>133</v>
      </c>
      <c r="O1404" t="s">
        <v>150</v>
      </c>
      <c r="Q1404" t="s">
        <v>4099</v>
      </c>
      <c r="R1404" t="s">
        <v>1674</v>
      </c>
      <c r="S1404" t="s">
        <v>1675</v>
      </c>
      <c r="T1404" t="s">
        <v>487</v>
      </c>
    </row>
    <row r="1405" spans="1:20" x14ac:dyDescent="0.2">
      <c r="A1405" t="s">
        <v>4100</v>
      </c>
      <c r="B1405" t="s">
        <v>4101</v>
      </c>
      <c r="C1405" t="s">
        <v>4102</v>
      </c>
      <c r="D1405" t="s">
        <v>24</v>
      </c>
      <c r="E1405" t="s">
        <v>133</v>
      </c>
      <c r="O1405" t="s">
        <v>161</v>
      </c>
      <c r="Q1405" t="s">
        <v>4103</v>
      </c>
      <c r="R1405" t="s">
        <v>1674</v>
      </c>
      <c r="S1405" t="s">
        <v>1675</v>
      </c>
      <c r="T1405" t="s">
        <v>487</v>
      </c>
    </row>
    <row r="1406" spans="1:20" x14ac:dyDescent="0.2">
      <c r="A1406" t="s">
        <v>4104</v>
      </c>
      <c r="B1406" t="s">
        <v>4105</v>
      </c>
      <c r="C1406" t="s">
        <v>4106</v>
      </c>
      <c r="D1406" t="s">
        <v>24</v>
      </c>
      <c r="E1406" t="s">
        <v>133</v>
      </c>
      <c r="O1406" t="s">
        <v>511</v>
      </c>
      <c r="Q1406" t="s">
        <v>4107</v>
      </c>
      <c r="R1406" t="s">
        <v>1674</v>
      </c>
      <c r="S1406" t="s">
        <v>1675</v>
      </c>
      <c r="T1406" t="s">
        <v>487</v>
      </c>
    </row>
    <row r="1407" spans="1:20" x14ac:dyDescent="0.2">
      <c r="A1407" t="s">
        <v>4108</v>
      </c>
      <c r="B1407" t="s">
        <v>4109</v>
      </c>
      <c r="C1407" t="s">
        <v>4110</v>
      </c>
      <c r="D1407" t="s">
        <v>24</v>
      </c>
      <c r="E1407" t="s">
        <v>133</v>
      </c>
      <c r="O1407" t="s">
        <v>161</v>
      </c>
      <c r="R1407" t="s">
        <v>1674</v>
      </c>
      <c r="S1407" t="s">
        <v>1675</v>
      </c>
      <c r="T1407" t="s">
        <v>487</v>
      </c>
    </row>
    <row r="1408" spans="1:20" x14ac:dyDescent="0.2">
      <c r="A1408" t="s">
        <v>4111</v>
      </c>
      <c r="B1408" t="s">
        <v>4112</v>
      </c>
      <c r="C1408" t="s">
        <v>4113</v>
      </c>
      <c r="D1408" t="s">
        <v>14</v>
      </c>
      <c r="E1408" t="s">
        <v>133</v>
      </c>
      <c r="K1408" t="s">
        <v>4114</v>
      </c>
      <c r="O1408" t="s">
        <v>161</v>
      </c>
    </row>
    <row r="1409" spans="1:20" x14ac:dyDescent="0.2">
      <c r="A1409" t="s">
        <v>4115</v>
      </c>
      <c r="B1409" t="s">
        <v>4116</v>
      </c>
      <c r="C1409" t="s">
        <v>4117</v>
      </c>
      <c r="D1409" t="s">
        <v>14</v>
      </c>
      <c r="E1409" t="s">
        <v>133</v>
      </c>
      <c r="K1409" t="s">
        <v>4118</v>
      </c>
      <c r="O1409" t="s">
        <v>161</v>
      </c>
    </row>
    <row r="1410" spans="1:20" x14ac:dyDescent="0.2">
      <c r="A1410" t="s">
        <v>4119</v>
      </c>
      <c r="B1410" t="s">
        <v>4120</v>
      </c>
      <c r="C1410" t="s">
        <v>4121</v>
      </c>
      <c r="D1410" t="s">
        <v>24</v>
      </c>
      <c r="E1410" t="s">
        <v>133</v>
      </c>
      <c r="O1410" t="s">
        <v>150</v>
      </c>
      <c r="Q1410" t="s">
        <v>4122</v>
      </c>
      <c r="R1410" t="s">
        <v>1674</v>
      </c>
      <c r="S1410" t="s">
        <v>1675</v>
      </c>
      <c r="T1410" t="s">
        <v>487</v>
      </c>
    </row>
    <row r="1411" spans="1:20" x14ac:dyDescent="0.2">
      <c r="A1411" t="s">
        <v>4123</v>
      </c>
      <c r="B1411" t="s">
        <v>4124</v>
      </c>
      <c r="C1411" t="s">
        <v>4125</v>
      </c>
      <c r="D1411" t="s">
        <v>24</v>
      </c>
      <c r="E1411" t="s">
        <v>133</v>
      </c>
      <c r="O1411" t="s">
        <v>161</v>
      </c>
      <c r="Q1411" t="s">
        <v>4126</v>
      </c>
      <c r="R1411" t="s">
        <v>1674</v>
      </c>
      <c r="S1411" t="s">
        <v>1675</v>
      </c>
      <c r="T1411" t="s">
        <v>487</v>
      </c>
    </row>
    <row r="1412" spans="1:20" x14ac:dyDescent="0.2">
      <c r="A1412" t="s">
        <v>4127</v>
      </c>
      <c r="B1412" t="s">
        <v>4128</v>
      </c>
      <c r="C1412" t="s">
        <v>4129</v>
      </c>
      <c r="D1412" t="s">
        <v>24</v>
      </c>
      <c r="E1412" t="s">
        <v>133</v>
      </c>
      <c r="O1412" t="s">
        <v>511</v>
      </c>
      <c r="Q1412" t="s">
        <v>4130</v>
      </c>
      <c r="R1412" t="s">
        <v>1674</v>
      </c>
      <c r="S1412" t="s">
        <v>1675</v>
      </c>
      <c r="T1412" t="s">
        <v>487</v>
      </c>
    </row>
    <row r="1413" spans="1:20" x14ac:dyDescent="0.2">
      <c r="A1413" t="s">
        <v>4131</v>
      </c>
      <c r="B1413" t="s">
        <v>4132</v>
      </c>
      <c r="C1413" t="s">
        <v>4133</v>
      </c>
      <c r="D1413" t="s">
        <v>14</v>
      </c>
      <c r="E1413" t="s">
        <v>133</v>
      </c>
      <c r="K1413" t="s">
        <v>4134</v>
      </c>
      <c r="O1413" t="s">
        <v>161</v>
      </c>
    </row>
    <row r="1414" spans="1:20" x14ac:dyDescent="0.2">
      <c r="A1414" t="s">
        <v>4135</v>
      </c>
      <c r="B1414" t="s">
        <v>4136</v>
      </c>
      <c r="C1414" t="s">
        <v>4137</v>
      </c>
      <c r="D1414" t="s">
        <v>14</v>
      </c>
      <c r="E1414" t="s">
        <v>133</v>
      </c>
      <c r="K1414" t="s">
        <v>4138</v>
      </c>
      <c r="O1414" t="s">
        <v>161</v>
      </c>
    </row>
    <row r="1415" spans="1:20" x14ac:dyDescent="0.2">
      <c r="A1415" t="s">
        <v>4139</v>
      </c>
      <c r="B1415" t="s">
        <v>4140</v>
      </c>
      <c r="C1415" t="s">
        <v>4141</v>
      </c>
      <c r="D1415" t="s">
        <v>24</v>
      </c>
      <c r="E1415" t="s">
        <v>133</v>
      </c>
      <c r="O1415" t="s">
        <v>150</v>
      </c>
      <c r="Q1415" t="s">
        <v>4142</v>
      </c>
      <c r="R1415" t="s">
        <v>1674</v>
      </c>
      <c r="S1415" t="s">
        <v>1675</v>
      </c>
      <c r="T1415" t="s">
        <v>487</v>
      </c>
    </row>
    <row r="1416" spans="1:20" x14ac:dyDescent="0.2">
      <c r="A1416" t="s">
        <v>4143</v>
      </c>
      <c r="B1416" t="s">
        <v>4144</v>
      </c>
      <c r="C1416" t="s">
        <v>4145</v>
      </c>
      <c r="D1416" t="s">
        <v>24</v>
      </c>
      <c r="E1416" t="s">
        <v>133</v>
      </c>
      <c r="O1416" t="s">
        <v>161</v>
      </c>
      <c r="Q1416" t="s">
        <v>4146</v>
      </c>
      <c r="R1416" t="s">
        <v>1674</v>
      </c>
      <c r="S1416" t="s">
        <v>1675</v>
      </c>
      <c r="T1416" t="s">
        <v>487</v>
      </c>
    </row>
    <row r="1417" spans="1:20" x14ac:dyDescent="0.2">
      <c r="A1417" t="s">
        <v>4147</v>
      </c>
      <c r="B1417" t="s">
        <v>4148</v>
      </c>
      <c r="C1417" t="s">
        <v>4149</v>
      </c>
      <c r="D1417" t="s">
        <v>24</v>
      </c>
      <c r="E1417" t="s">
        <v>133</v>
      </c>
      <c r="O1417" t="s">
        <v>511</v>
      </c>
      <c r="Q1417" t="s">
        <v>4150</v>
      </c>
      <c r="R1417" t="s">
        <v>1674</v>
      </c>
      <c r="S1417" t="s">
        <v>1675</v>
      </c>
      <c r="T1417" t="s">
        <v>487</v>
      </c>
    </row>
    <row r="1418" spans="1:20" x14ac:dyDescent="0.2">
      <c r="A1418" t="s">
        <v>4151</v>
      </c>
      <c r="B1418" t="s">
        <v>4152</v>
      </c>
      <c r="C1418" t="s">
        <v>4153</v>
      </c>
      <c r="D1418" t="s">
        <v>24</v>
      </c>
      <c r="E1418" t="s">
        <v>505</v>
      </c>
      <c r="F1418" t="s">
        <v>133</v>
      </c>
      <c r="G1418" t="s">
        <v>133</v>
      </c>
      <c r="H1418" t="s">
        <v>133</v>
      </c>
      <c r="I1418" t="s">
        <v>133</v>
      </c>
      <c r="O1418" t="s">
        <v>161</v>
      </c>
      <c r="R1418" t="s">
        <v>1219</v>
      </c>
      <c r="S1418" t="s">
        <v>1220</v>
      </c>
      <c r="T1418" t="s">
        <v>487</v>
      </c>
    </row>
    <row r="1419" spans="1:20" x14ac:dyDescent="0.2">
      <c r="A1419" t="s">
        <v>4151</v>
      </c>
      <c r="B1419" t="s">
        <v>4152</v>
      </c>
      <c r="C1419" t="s">
        <v>4153</v>
      </c>
      <c r="D1419" t="s">
        <v>14</v>
      </c>
      <c r="E1419" t="s">
        <v>255</v>
      </c>
      <c r="F1419" t="s">
        <v>133</v>
      </c>
      <c r="G1419" t="s">
        <v>133</v>
      </c>
      <c r="H1419" t="s">
        <v>133</v>
      </c>
      <c r="I1419" t="s">
        <v>133</v>
      </c>
      <c r="K1419" t="s">
        <v>3315</v>
      </c>
      <c r="O1419" t="s">
        <v>161</v>
      </c>
    </row>
    <row r="1420" spans="1:20" x14ac:dyDescent="0.2">
      <c r="A1420" t="s">
        <v>4154</v>
      </c>
      <c r="B1420" t="s">
        <v>4155</v>
      </c>
      <c r="C1420" t="s">
        <v>4156</v>
      </c>
      <c r="D1420" t="s">
        <v>14</v>
      </c>
      <c r="E1420" t="s">
        <v>133</v>
      </c>
      <c r="F1420" t="s">
        <v>133</v>
      </c>
      <c r="G1420" t="s">
        <v>133</v>
      </c>
      <c r="H1420" t="s">
        <v>133</v>
      </c>
      <c r="I1420" t="s">
        <v>133</v>
      </c>
      <c r="K1420" t="s">
        <v>4157</v>
      </c>
      <c r="O1420" t="s">
        <v>161</v>
      </c>
    </row>
    <row r="1421" spans="1:20" x14ac:dyDescent="0.2">
      <c r="A1421" t="s">
        <v>4158</v>
      </c>
      <c r="B1421" t="s">
        <v>4159</v>
      </c>
      <c r="C1421" t="s">
        <v>4160</v>
      </c>
      <c r="D1421" t="s">
        <v>14</v>
      </c>
      <c r="E1421" t="s">
        <v>133</v>
      </c>
      <c r="F1421" t="s">
        <v>133</v>
      </c>
      <c r="G1421" t="s">
        <v>133</v>
      </c>
      <c r="H1421" t="s">
        <v>133</v>
      </c>
      <c r="I1421" t="s">
        <v>133</v>
      </c>
      <c r="K1421" t="s">
        <v>4161</v>
      </c>
      <c r="O1421" t="s">
        <v>161</v>
      </c>
    </row>
    <row r="1422" spans="1:20" x14ac:dyDescent="0.2">
      <c r="A1422" t="s">
        <v>4162</v>
      </c>
      <c r="B1422" t="s">
        <v>4163</v>
      </c>
      <c r="C1422" t="s">
        <v>4164</v>
      </c>
      <c r="D1422" t="s">
        <v>24</v>
      </c>
      <c r="E1422" t="s">
        <v>133</v>
      </c>
      <c r="O1422" t="s">
        <v>511</v>
      </c>
      <c r="Q1422" t="s">
        <v>4165</v>
      </c>
      <c r="R1422" t="s">
        <v>1680</v>
      </c>
      <c r="S1422" t="s">
        <v>1658</v>
      </c>
      <c r="T1422" t="s">
        <v>487</v>
      </c>
    </row>
    <row r="1423" spans="1:20" x14ac:dyDescent="0.2">
      <c r="A1423" t="s">
        <v>4166</v>
      </c>
      <c r="B1423" t="s">
        <v>4167</v>
      </c>
      <c r="C1423" t="s">
        <v>4168</v>
      </c>
      <c r="D1423" t="s">
        <v>14</v>
      </c>
      <c r="E1423" t="s">
        <v>133</v>
      </c>
      <c r="F1423" t="s">
        <v>133</v>
      </c>
      <c r="G1423" t="s">
        <v>133</v>
      </c>
      <c r="H1423" t="s">
        <v>133</v>
      </c>
      <c r="I1423" t="s">
        <v>133</v>
      </c>
      <c r="K1423" t="s">
        <v>4169</v>
      </c>
      <c r="O1423" t="s">
        <v>161</v>
      </c>
    </row>
    <row r="1424" spans="1:20" x14ac:dyDescent="0.2">
      <c r="A1424" t="s">
        <v>3482</v>
      </c>
      <c r="B1424" t="s">
        <v>3483</v>
      </c>
      <c r="C1424" t="s">
        <v>3484</v>
      </c>
      <c r="D1424" t="s">
        <v>61</v>
      </c>
      <c r="E1424" t="s">
        <v>255</v>
      </c>
      <c r="F1424" t="s">
        <v>133</v>
      </c>
      <c r="G1424" t="s">
        <v>133</v>
      </c>
      <c r="H1424" t="s">
        <v>133</v>
      </c>
      <c r="I1424" t="s">
        <v>133</v>
      </c>
      <c r="K1424" t="s">
        <v>4170</v>
      </c>
      <c r="O1424" t="s">
        <v>511</v>
      </c>
    </row>
    <row r="1425" spans="1:20" x14ac:dyDescent="0.2">
      <c r="A1425" t="s">
        <v>4171</v>
      </c>
      <c r="B1425" t="s">
        <v>4172</v>
      </c>
      <c r="C1425" t="s">
        <v>4173</v>
      </c>
      <c r="D1425" t="s">
        <v>14</v>
      </c>
      <c r="E1425" t="s">
        <v>133</v>
      </c>
      <c r="F1425" t="s">
        <v>133</v>
      </c>
      <c r="G1425" t="s">
        <v>133</v>
      </c>
      <c r="H1425" t="s">
        <v>133</v>
      </c>
      <c r="I1425" t="s">
        <v>133</v>
      </c>
      <c r="K1425" t="s">
        <v>4174</v>
      </c>
      <c r="O1425" t="s">
        <v>161</v>
      </c>
    </row>
    <row r="1426" spans="1:20" x14ac:dyDescent="0.2">
      <c r="A1426" t="s">
        <v>4175</v>
      </c>
      <c r="B1426" t="s">
        <v>4176</v>
      </c>
      <c r="C1426" t="s">
        <v>4177</v>
      </c>
      <c r="D1426" t="s">
        <v>14</v>
      </c>
      <c r="E1426" t="s">
        <v>133</v>
      </c>
      <c r="F1426" t="s">
        <v>133</v>
      </c>
      <c r="G1426" t="s">
        <v>133</v>
      </c>
      <c r="H1426" t="s">
        <v>133</v>
      </c>
      <c r="I1426" t="s">
        <v>133</v>
      </c>
      <c r="K1426" t="s">
        <v>4178</v>
      </c>
      <c r="O1426" t="s">
        <v>161</v>
      </c>
    </row>
    <row r="1427" spans="1:20" x14ac:dyDescent="0.2">
      <c r="A1427" t="s">
        <v>4179</v>
      </c>
      <c r="B1427" t="s">
        <v>4180</v>
      </c>
      <c r="C1427" t="s">
        <v>4181</v>
      </c>
      <c r="D1427" t="s">
        <v>24</v>
      </c>
      <c r="E1427" t="s">
        <v>133</v>
      </c>
      <c r="F1427" t="s">
        <v>133</v>
      </c>
      <c r="G1427" t="s">
        <v>133</v>
      </c>
      <c r="H1427" t="s">
        <v>133</v>
      </c>
      <c r="I1427" t="s">
        <v>133</v>
      </c>
      <c r="O1427" t="s">
        <v>511</v>
      </c>
      <c r="Q1427" t="s">
        <v>4182</v>
      </c>
      <c r="R1427" t="s">
        <v>1004</v>
      </c>
      <c r="S1427" t="s">
        <v>1005</v>
      </c>
      <c r="T1427" t="s">
        <v>487</v>
      </c>
    </row>
    <row r="1428" spans="1:20" x14ac:dyDescent="0.2">
      <c r="A1428" t="s">
        <v>4183</v>
      </c>
      <c r="B1428" t="s">
        <v>4184</v>
      </c>
      <c r="C1428" t="s">
        <v>4185</v>
      </c>
      <c r="D1428" t="s">
        <v>14</v>
      </c>
      <c r="E1428" t="s">
        <v>133</v>
      </c>
      <c r="F1428" t="s">
        <v>133</v>
      </c>
      <c r="G1428" t="s">
        <v>133</v>
      </c>
      <c r="H1428" t="s">
        <v>133</v>
      </c>
      <c r="I1428" t="s">
        <v>133</v>
      </c>
      <c r="K1428" t="s">
        <v>4186</v>
      </c>
      <c r="O1428" t="s">
        <v>161</v>
      </c>
    </row>
    <row r="1429" spans="1:20" x14ac:dyDescent="0.2">
      <c r="A1429" t="s">
        <v>4187</v>
      </c>
      <c r="B1429" t="s">
        <v>4188</v>
      </c>
      <c r="C1429" t="s">
        <v>4189</v>
      </c>
      <c r="D1429" t="s">
        <v>24</v>
      </c>
      <c r="E1429" t="s">
        <v>133</v>
      </c>
      <c r="F1429" t="s">
        <v>133</v>
      </c>
      <c r="G1429" t="s">
        <v>133</v>
      </c>
      <c r="H1429" t="s">
        <v>133</v>
      </c>
      <c r="I1429" t="s">
        <v>133</v>
      </c>
      <c r="O1429" t="s">
        <v>161</v>
      </c>
      <c r="R1429" t="s">
        <v>1689</v>
      </c>
      <c r="S1429" t="s">
        <v>1690</v>
      </c>
      <c r="T1429" t="s">
        <v>487</v>
      </c>
    </row>
    <row r="1430" spans="1:20" x14ac:dyDescent="0.2">
      <c r="A1430" t="s">
        <v>4190</v>
      </c>
      <c r="B1430" t="s">
        <v>4191</v>
      </c>
      <c r="C1430" t="s">
        <v>4192</v>
      </c>
      <c r="D1430" t="s">
        <v>14</v>
      </c>
      <c r="E1430" t="s">
        <v>133</v>
      </c>
      <c r="F1430" t="s">
        <v>133</v>
      </c>
      <c r="G1430" t="s">
        <v>133</v>
      </c>
      <c r="H1430" t="s">
        <v>133</v>
      </c>
      <c r="I1430" t="s">
        <v>133</v>
      </c>
      <c r="K1430" t="s">
        <v>4193</v>
      </c>
      <c r="O1430" t="s">
        <v>161</v>
      </c>
    </row>
    <row r="1431" spans="1:20" x14ac:dyDescent="0.2">
      <c r="A1431" t="s">
        <v>4194</v>
      </c>
      <c r="B1431" t="s">
        <v>4195</v>
      </c>
      <c r="C1431" t="s">
        <v>4196</v>
      </c>
      <c r="D1431" t="s">
        <v>35</v>
      </c>
      <c r="E1431" t="s">
        <v>505</v>
      </c>
      <c r="F1431" t="s">
        <v>133</v>
      </c>
      <c r="G1431" t="s">
        <v>133</v>
      </c>
      <c r="H1431" t="s">
        <v>3181</v>
      </c>
      <c r="I1431" t="s">
        <v>133</v>
      </c>
      <c r="O1431" t="s">
        <v>511</v>
      </c>
      <c r="R1431" t="s">
        <v>1682</v>
      </c>
      <c r="S1431" t="s">
        <v>1683</v>
      </c>
      <c r="T1431" t="s">
        <v>487</v>
      </c>
    </row>
    <row r="1432" spans="1:20" x14ac:dyDescent="0.2">
      <c r="A1432" t="s">
        <v>4194</v>
      </c>
      <c r="B1432" t="s">
        <v>4195</v>
      </c>
      <c r="C1432" t="s">
        <v>4196</v>
      </c>
      <c r="D1432" t="s">
        <v>35</v>
      </c>
      <c r="E1432" t="s">
        <v>505</v>
      </c>
      <c r="F1432" t="s">
        <v>133</v>
      </c>
      <c r="G1432" t="s">
        <v>133</v>
      </c>
      <c r="H1432" t="s">
        <v>1684</v>
      </c>
      <c r="I1432" t="s">
        <v>133</v>
      </c>
      <c r="O1432" t="s">
        <v>511</v>
      </c>
      <c r="R1432" t="s">
        <v>1685</v>
      </c>
      <c r="S1432" t="s">
        <v>1686</v>
      </c>
      <c r="T1432" t="s">
        <v>487</v>
      </c>
    </row>
    <row r="1433" spans="1:20" x14ac:dyDescent="0.2">
      <c r="A1433" t="s">
        <v>4194</v>
      </c>
      <c r="B1433" t="s">
        <v>4195</v>
      </c>
      <c r="C1433" t="s">
        <v>4196</v>
      </c>
      <c r="D1433" t="s">
        <v>61</v>
      </c>
      <c r="E1433" t="s">
        <v>255</v>
      </c>
      <c r="F1433" t="s">
        <v>133</v>
      </c>
      <c r="G1433" t="s">
        <v>133</v>
      </c>
      <c r="H1433" t="s">
        <v>2864</v>
      </c>
      <c r="I1433" t="s">
        <v>133</v>
      </c>
      <c r="K1433" t="s">
        <v>4197</v>
      </c>
      <c r="O1433" t="s">
        <v>511</v>
      </c>
    </row>
    <row r="1434" spans="1:20" x14ac:dyDescent="0.2">
      <c r="A1434" t="s">
        <v>4198</v>
      </c>
      <c r="B1434" t="s">
        <v>4199</v>
      </c>
      <c r="C1434" t="s">
        <v>4200</v>
      </c>
      <c r="D1434" t="s">
        <v>14</v>
      </c>
      <c r="E1434" t="s">
        <v>133</v>
      </c>
      <c r="H1434" t="s">
        <v>133</v>
      </c>
      <c r="K1434" t="s">
        <v>4201</v>
      </c>
      <c r="L1434" t="s">
        <v>160</v>
      </c>
      <c r="O1434" t="s">
        <v>161</v>
      </c>
    </row>
    <row r="1435" spans="1:20" x14ac:dyDescent="0.2">
      <c r="A1435" t="s">
        <v>4202</v>
      </c>
      <c r="B1435" t="s">
        <v>4203</v>
      </c>
      <c r="C1435" t="s">
        <v>4204</v>
      </c>
      <c r="D1435" t="s">
        <v>14</v>
      </c>
      <c r="E1435" t="s">
        <v>133</v>
      </c>
      <c r="F1435" t="s">
        <v>133</v>
      </c>
      <c r="G1435" t="s">
        <v>133</v>
      </c>
      <c r="H1435" t="s">
        <v>2864</v>
      </c>
      <c r="I1435" t="s">
        <v>133</v>
      </c>
      <c r="K1435" t="s">
        <v>4205</v>
      </c>
      <c r="O1435" t="s">
        <v>161</v>
      </c>
    </row>
    <row r="1436" spans="1:20" x14ac:dyDescent="0.2">
      <c r="A1436" t="s">
        <v>4206</v>
      </c>
      <c r="B1436" t="s">
        <v>4207</v>
      </c>
      <c r="C1436" t="s">
        <v>4205</v>
      </c>
      <c r="D1436" t="s">
        <v>24</v>
      </c>
      <c r="E1436" t="s">
        <v>133</v>
      </c>
      <c r="F1436" t="s">
        <v>133</v>
      </c>
      <c r="G1436" t="s">
        <v>133</v>
      </c>
      <c r="H1436" t="s">
        <v>133</v>
      </c>
      <c r="I1436" t="s">
        <v>133</v>
      </c>
      <c r="M1436" t="s">
        <v>291</v>
      </c>
      <c r="O1436" t="s">
        <v>161</v>
      </c>
      <c r="T1436" t="s">
        <v>487</v>
      </c>
    </row>
    <row r="1437" spans="1:20" x14ac:dyDescent="0.2">
      <c r="A1437" t="s">
        <v>4208</v>
      </c>
      <c r="B1437" t="s">
        <v>4209</v>
      </c>
      <c r="C1437" t="s">
        <v>4210</v>
      </c>
      <c r="D1437" t="s">
        <v>14</v>
      </c>
      <c r="E1437" t="s">
        <v>133</v>
      </c>
      <c r="K1437" t="s">
        <v>4211</v>
      </c>
      <c r="L1437" t="s">
        <v>160</v>
      </c>
      <c r="O1437" t="s">
        <v>161</v>
      </c>
    </row>
    <row r="1438" spans="1:20" x14ac:dyDescent="0.2">
      <c r="A1438" t="s">
        <v>4212</v>
      </c>
      <c r="B1438" t="s">
        <v>4213</v>
      </c>
      <c r="C1438" t="s">
        <v>4214</v>
      </c>
      <c r="D1438" t="s">
        <v>14</v>
      </c>
      <c r="E1438" t="s">
        <v>133</v>
      </c>
      <c r="K1438" t="s">
        <v>4215</v>
      </c>
      <c r="L1438" t="s">
        <v>160</v>
      </c>
      <c r="O1438" t="s">
        <v>161</v>
      </c>
    </row>
    <row r="1439" spans="1:20" x14ac:dyDescent="0.2">
      <c r="A1439" t="s">
        <v>4216</v>
      </c>
      <c r="B1439" t="s">
        <v>4217</v>
      </c>
      <c r="C1439" t="s">
        <v>4218</v>
      </c>
      <c r="D1439" t="s">
        <v>14</v>
      </c>
      <c r="E1439" t="s">
        <v>133</v>
      </c>
      <c r="H1439" t="s">
        <v>4219</v>
      </c>
      <c r="K1439" t="s">
        <v>4220</v>
      </c>
      <c r="O1439" t="s">
        <v>161</v>
      </c>
    </row>
    <row r="1440" spans="1:20" x14ac:dyDescent="0.2">
      <c r="A1440" t="s">
        <v>4221</v>
      </c>
      <c r="B1440" t="s">
        <v>4222</v>
      </c>
      <c r="C1440" t="s">
        <v>4223</v>
      </c>
      <c r="D1440" t="s">
        <v>14</v>
      </c>
      <c r="E1440" t="s">
        <v>133</v>
      </c>
      <c r="F1440" t="s">
        <v>133</v>
      </c>
      <c r="G1440" t="s">
        <v>133</v>
      </c>
      <c r="H1440" t="s">
        <v>133</v>
      </c>
      <c r="I1440" t="s">
        <v>133</v>
      </c>
      <c r="K1440" t="s">
        <v>4224</v>
      </c>
      <c r="O1440" t="s">
        <v>161</v>
      </c>
    </row>
    <row r="1441" spans="1:20" x14ac:dyDescent="0.2">
      <c r="A1441" t="s">
        <v>4225</v>
      </c>
      <c r="B1441" t="s">
        <v>4226</v>
      </c>
      <c r="C1441" t="s">
        <v>4227</v>
      </c>
      <c r="D1441" t="s">
        <v>24</v>
      </c>
      <c r="E1441" t="s">
        <v>133</v>
      </c>
      <c r="O1441" t="s">
        <v>511</v>
      </c>
      <c r="Q1441" t="s">
        <v>4228</v>
      </c>
      <c r="R1441" t="s">
        <v>1692</v>
      </c>
      <c r="S1441" t="s">
        <v>1693</v>
      </c>
      <c r="T1441" t="s">
        <v>487</v>
      </c>
    </row>
    <row r="1442" spans="1:20" x14ac:dyDescent="0.2">
      <c r="A1442" t="s">
        <v>4229</v>
      </c>
      <c r="B1442" t="s">
        <v>4230</v>
      </c>
      <c r="C1442" t="s">
        <v>4231</v>
      </c>
      <c r="D1442" t="s">
        <v>14</v>
      </c>
      <c r="E1442" t="s">
        <v>133</v>
      </c>
      <c r="F1442" t="s">
        <v>133</v>
      </c>
      <c r="G1442" t="s">
        <v>133</v>
      </c>
      <c r="H1442" t="s">
        <v>133</v>
      </c>
      <c r="I1442" t="s">
        <v>133</v>
      </c>
      <c r="K1442" t="s">
        <v>4232</v>
      </c>
      <c r="O1442" t="s">
        <v>161</v>
      </c>
    </row>
    <row r="1443" spans="1:20" x14ac:dyDescent="0.2">
      <c r="A1443" t="s">
        <v>4233</v>
      </c>
      <c r="B1443" t="s">
        <v>4234</v>
      </c>
      <c r="C1443" t="s">
        <v>4235</v>
      </c>
      <c r="D1443" t="s">
        <v>14</v>
      </c>
      <c r="E1443" t="s">
        <v>133</v>
      </c>
      <c r="F1443" t="s">
        <v>133</v>
      </c>
      <c r="G1443" t="s">
        <v>133</v>
      </c>
      <c r="H1443" t="s">
        <v>133</v>
      </c>
      <c r="I1443" t="s">
        <v>133</v>
      </c>
      <c r="K1443" t="s">
        <v>4236</v>
      </c>
      <c r="O1443" t="s">
        <v>161</v>
      </c>
    </row>
    <row r="1444" spans="1:20" x14ac:dyDescent="0.2">
      <c r="A1444" t="s">
        <v>4237</v>
      </c>
      <c r="B1444" t="s">
        <v>4238</v>
      </c>
      <c r="C1444" t="s">
        <v>4239</v>
      </c>
      <c r="D1444" t="s">
        <v>24</v>
      </c>
      <c r="E1444" t="s">
        <v>133</v>
      </c>
      <c r="F1444" t="s">
        <v>133</v>
      </c>
      <c r="G1444" t="s">
        <v>133</v>
      </c>
      <c r="H1444" t="s">
        <v>133</v>
      </c>
      <c r="I1444" t="s">
        <v>133</v>
      </c>
      <c r="O1444" t="s">
        <v>511</v>
      </c>
      <c r="R1444" t="s">
        <v>1674</v>
      </c>
      <c r="S1444" t="s">
        <v>1675</v>
      </c>
      <c r="T1444" t="s">
        <v>487</v>
      </c>
    </row>
    <row r="1445" spans="1:20" x14ac:dyDescent="0.2">
      <c r="A1445" t="s">
        <v>4240</v>
      </c>
      <c r="B1445" t="s">
        <v>4241</v>
      </c>
      <c r="C1445" t="s">
        <v>4242</v>
      </c>
      <c r="D1445" t="s">
        <v>24</v>
      </c>
      <c r="E1445" t="s">
        <v>505</v>
      </c>
      <c r="F1445" t="s">
        <v>133</v>
      </c>
      <c r="G1445" t="s">
        <v>133</v>
      </c>
      <c r="H1445" t="s">
        <v>133</v>
      </c>
      <c r="I1445" t="s">
        <v>133</v>
      </c>
      <c r="O1445" t="s">
        <v>161</v>
      </c>
      <c r="R1445" t="s">
        <v>1219</v>
      </c>
      <c r="S1445" t="s">
        <v>1220</v>
      </c>
      <c r="T1445" t="s">
        <v>487</v>
      </c>
    </row>
    <row r="1446" spans="1:20" x14ac:dyDescent="0.2">
      <c r="A1446" t="s">
        <v>4240</v>
      </c>
      <c r="B1446" t="s">
        <v>4241</v>
      </c>
      <c r="C1446" t="s">
        <v>4242</v>
      </c>
      <c r="D1446" t="s">
        <v>14</v>
      </c>
      <c r="E1446" t="s">
        <v>255</v>
      </c>
      <c r="F1446" t="s">
        <v>133</v>
      </c>
      <c r="G1446" t="s">
        <v>133</v>
      </c>
      <c r="H1446" t="s">
        <v>133</v>
      </c>
      <c r="I1446" t="s">
        <v>133</v>
      </c>
      <c r="K1446" t="s">
        <v>4205</v>
      </c>
      <c r="O1446" t="s">
        <v>161</v>
      </c>
    </row>
    <row r="1447" spans="1:20" x14ac:dyDescent="0.2">
      <c r="A1447" t="s">
        <v>4243</v>
      </c>
      <c r="B1447" t="s">
        <v>4244</v>
      </c>
      <c r="C1447" t="s">
        <v>4245</v>
      </c>
      <c r="D1447" t="s">
        <v>14</v>
      </c>
      <c r="E1447" t="s">
        <v>133</v>
      </c>
      <c r="F1447" t="s">
        <v>133</v>
      </c>
      <c r="G1447" t="s">
        <v>133</v>
      </c>
      <c r="H1447" t="s">
        <v>133</v>
      </c>
      <c r="I1447" t="s">
        <v>133</v>
      </c>
      <c r="K1447" t="s">
        <v>4246</v>
      </c>
      <c r="O1447" t="s">
        <v>161</v>
      </c>
    </row>
    <row r="1448" spans="1:20" x14ac:dyDescent="0.2">
      <c r="A1448" t="s">
        <v>4247</v>
      </c>
      <c r="B1448" t="s">
        <v>4248</v>
      </c>
      <c r="C1448" t="s">
        <v>4249</v>
      </c>
      <c r="D1448" t="s">
        <v>14</v>
      </c>
      <c r="E1448" t="s">
        <v>133</v>
      </c>
      <c r="F1448" t="s">
        <v>133</v>
      </c>
      <c r="G1448" t="s">
        <v>133</v>
      </c>
      <c r="H1448" t="s">
        <v>133</v>
      </c>
      <c r="I1448" t="s">
        <v>133</v>
      </c>
      <c r="K1448" t="s">
        <v>4250</v>
      </c>
      <c r="O1448" t="s">
        <v>161</v>
      </c>
    </row>
    <row r="1449" spans="1:20" x14ac:dyDescent="0.2">
      <c r="A1449" t="s">
        <v>4251</v>
      </c>
      <c r="B1449" t="s">
        <v>4252</v>
      </c>
      <c r="C1449" t="s">
        <v>4253</v>
      </c>
      <c r="D1449" t="s">
        <v>24</v>
      </c>
      <c r="E1449" t="s">
        <v>133</v>
      </c>
      <c r="O1449" t="s">
        <v>511</v>
      </c>
      <c r="Q1449" t="s">
        <v>4254</v>
      </c>
      <c r="R1449" t="s">
        <v>1680</v>
      </c>
      <c r="S1449" t="s">
        <v>1658</v>
      </c>
      <c r="T1449" t="s">
        <v>487</v>
      </c>
    </row>
    <row r="1450" spans="1:20" x14ac:dyDescent="0.2">
      <c r="A1450" t="s">
        <v>4255</v>
      </c>
      <c r="B1450" t="s">
        <v>4256</v>
      </c>
      <c r="C1450" t="s">
        <v>4257</v>
      </c>
      <c r="D1450" t="s">
        <v>14</v>
      </c>
      <c r="E1450" t="s">
        <v>133</v>
      </c>
      <c r="F1450" t="s">
        <v>133</v>
      </c>
      <c r="G1450" t="s">
        <v>133</v>
      </c>
      <c r="H1450" t="s">
        <v>133</v>
      </c>
      <c r="I1450" t="s">
        <v>133</v>
      </c>
      <c r="K1450" t="s">
        <v>4258</v>
      </c>
      <c r="O1450" t="s">
        <v>161</v>
      </c>
    </row>
    <row r="1451" spans="1:20" x14ac:dyDescent="0.2">
      <c r="A1451" t="s">
        <v>4259</v>
      </c>
      <c r="B1451" t="s">
        <v>4260</v>
      </c>
      <c r="C1451" t="s">
        <v>4261</v>
      </c>
      <c r="D1451" t="s">
        <v>14</v>
      </c>
      <c r="E1451" t="s">
        <v>133</v>
      </c>
      <c r="F1451" t="s">
        <v>133</v>
      </c>
      <c r="G1451" t="s">
        <v>133</v>
      </c>
      <c r="H1451" t="s">
        <v>133</v>
      </c>
      <c r="I1451" t="s">
        <v>133</v>
      </c>
      <c r="K1451" t="s">
        <v>4262</v>
      </c>
      <c r="O1451" t="s">
        <v>161</v>
      </c>
    </row>
    <row r="1452" spans="1:20" x14ac:dyDescent="0.2">
      <c r="A1452" t="s">
        <v>4263</v>
      </c>
      <c r="B1452" t="s">
        <v>4264</v>
      </c>
      <c r="C1452" t="s">
        <v>4265</v>
      </c>
      <c r="D1452" t="s">
        <v>24</v>
      </c>
      <c r="E1452" t="s">
        <v>133</v>
      </c>
      <c r="F1452" t="s">
        <v>133</v>
      </c>
      <c r="G1452" t="s">
        <v>133</v>
      </c>
      <c r="H1452" t="s">
        <v>133</v>
      </c>
      <c r="I1452" t="s">
        <v>133</v>
      </c>
      <c r="O1452" t="s">
        <v>511</v>
      </c>
      <c r="Q1452" t="s">
        <v>4266</v>
      </c>
      <c r="R1452" t="s">
        <v>1004</v>
      </c>
      <c r="S1452" t="s">
        <v>1005</v>
      </c>
      <c r="T1452" t="s">
        <v>487</v>
      </c>
    </row>
    <row r="1453" spans="1:20" x14ac:dyDescent="0.2">
      <c r="A1453" t="s">
        <v>4267</v>
      </c>
      <c r="B1453" t="s">
        <v>4268</v>
      </c>
      <c r="C1453" t="s">
        <v>4269</v>
      </c>
      <c r="D1453" t="s">
        <v>14</v>
      </c>
      <c r="E1453" t="s">
        <v>133</v>
      </c>
      <c r="F1453" t="s">
        <v>133</v>
      </c>
      <c r="G1453" t="s">
        <v>133</v>
      </c>
      <c r="H1453" t="s">
        <v>133</v>
      </c>
      <c r="I1453" t="s">
        <v>133</v>
      </c>
      <c r="K1453" t="s">
        <v>4270</v>
      </c>
      <c r="O1453" t="s">
        <v>161</v>
      </c>
    </row>
    <row r="1454" spans="1:20" x14ac:dyDescent="0.2">
      <c r="A1454" t="s">
        <v>4271</v>
      </c>
      <c r="B1454" t="s">
        <v>4272</v>
      </c>
      <c r="C1454" t="s">
        <v>4273</v>
      </c>
      <c r="D1454" t="s">
        <v>24</v>
      </c>
      <c r="E1454" t="s">
        <v>133</v>
      </c>
      <c r="O1454" t="s">
        <v>511</v>
      </c>
      <c r="Q1454" t="s">
        <v>4274</v>
      </c>
      <c r="R1454" t="s">
        <v>1692</v>
      </c>
      <c r="S1454" t="s">
        <v>1693</v>
      </c>
      <c r="T1454" t="s">
        <v>487</v>
      </c>
    </row>
    <row r="1455" spans="1:20" x14ac:dyDescent="0.2">
      <c r="A1455" t="s">
        <v>4275</v>
      </c>
      <c r="B1455" t="s">
        <v>4276</v>
      </c>
      <c r="C1455" t="s">
        <v>4277</v>
      </c>
      <c r="D1455" t="s">
        <v>14</v>
      </c>
      <c r="E1455" t="s">
        <v>133</v>
      </c>
      <c r="F1455" t="s">
        <v>133</v>
      </c>
      <c r="G1455" t="s">
        <v>133</v>
      </c>
      <c r="H1455" t="s">
        <v>133</v>
      </c>
      <c r="I1455" t="s">
        <v>133</v>
      </c>
      <c r="K1455" t="s">
        <v>4278</v>
      </c>
      <c r="O1455" t="s">
        <v>161</v>
      </c>
    </row>
    <row r="1456" spans="1:20" x14ac:dyDescent="0.2">
      <c r="A1456" t="s">
        <v>4279</v>
      </c>
      <c r="B1456" t="s">
        <v>4280</v>
      </c>
      <c r="C1456" t="s">
        <v>4281</v>
      </c>
      <c r="D1456" t="s">
        <v>35</v>
      </c>
      <c r="E1456" t="s">
        <v>505</v>
      </c>
      <c r="F1456" t="s">
        <v>133</v>
      </c>
      <c r="G1456" t="s">
        <v>133</v>
      </c>
      <c r="H1456" t="s">
        <v>3181</v>
      </c>
      <c r="I1456" t="s">
        <v>133</v>
      </c>
      <c r="O1456" t="s">
        <v>511</v>
      </c>
      <c r="R1456" t="s">
        <v>1682</v>
      </c>
      <c r="S1456" t="s">
        <v>1683</v>
      </c>
      <c r="T1456" t="s">
        <v>487</v>
      </c>
    </row>
    <row r="1457" spans="1:20" x14ac:dyDescent="0.2">
      <c r="A1457" t="s">
        <v>4279</v>
      </c>
      <c r="B1457" t="s">
        <v>4280</v>
      </c>
      <c r="C1457" t="s">
        <v>4281</v>
      </c>
      <c r="D1457" t="s">
        <v>35</v>
      </c>
      <c r="E1457" t="s">
        <v>505</v>
      </c>
      <c r="F1457" t="s">
        <v>133</v>
      </c>
      <c r="G1457" t="s">
        <v>133</v>
      </c>
      <c r="H1457" t="s">
        <v>1684</v>
      </c>
      <c r="I1457" t="s">
        <v>133</v>
      </c>
      <c r="O1457" t="s">
        <v>511</v>
      </c>
      <c r="R1457" t="s">
        <v>1685</v>
      </c>
      <c r="S1457" t="s">
        <v>1686</v>
      </c>
      <c r="T1457" t="s">
        <v>487</v>
      </c>
    </row>
    <row r="1458" spans="1:20" x14ac:dyDescent="0.2">
      <c r="A1458" t="s">
        <v>4279</v>
      </c>
      <c r="B1458" t="s">
        <v>4280</v>
      </c>
      <c r="C1458" t="s">
        <v>4281</v>
      </c>
      <c r="D1458" t="s">
        <v>61</v>
      </c>
      <c r="E1458" t="s">
        <v>255</v>
      </c>
      <c r="F1458" t="s">
        <v>133</v>
      </c>
      <c r="G1458" t="s">
        <v>133</v>
      </c>
      <c r="H1458" t="s">
        <v>2864</v>
      </c>
      <c r="I1458" t="s">
        <v>133</v>
      </c>
      <c r="K1458" t="s">
        <v>4282</v>
      </c>
      <c r="O1458" t="s">
        <v>511</v>
      </c>
    </row>
    <row r="1459" spans="1:20" x14ac:dyDescent="0.2">
      <c r="A1459" t="s">
        <v>4283</v>
      </c>
      <c r="B1459" t="s">
        <v>4284</v>
      </c>
      <c r="C1459" t="s">
        <v>4285</v>
      </c>
      <c r="D1459" t="s">
        <v>14</v>
      </c>
      <c r="E1459" t="s">
        <v>133</v>
      </c>
      <c r="H1459" t="s">
        <v>133</v>
      </c>
      <c r="K1459" t="s">
        <v>4286</v>
      </c>
      <c r="L1459" t="s">
        <v>160</v>
      </c>
      <c r="O1459" t="s">
        <v>161</v>
      </c>
    </row>
    <row r="1460" spans="1:20" x14ac:dyDescent="0.2">
      <c r="A1460" t="s">
        <v>4287</v>
      </c>
      <c r="B1460" t="s">
        <v>4288</v>
      </c>
      <c r="C1460" t="s">
        <v>4289</v>
      </c>
      <c r="D1460" t="s">
        <v>14</v>
      </c>
      <c r="E1460" t="s">
        <v>133</v>
      </c>
      <c r="F1460" t="s">
        <v>133</v>
      </c>
      <c r="G1460" t="s">
        <v>133</v>
      </c>
      <c r="H1460" t="s">
        <v>2864</v>
      </c>
      <c r="I1460" t="s">
        <v>133</v>
      </c>
      <c r="K1460" t="s">
        <v>4290</v>
      </c>
      <c r="O1460" t="s">
        <v>161</v>
      </c>
    </row>
    <row r="1461" spans="1:20" x14ac:dyDescent="0.2">
      <c r="A1461" t="s">
        <v>4291</v>
      </c>
      <c r="B1461" t="s">
        <v>4292</v>
      </c>
      <c r="C1461" t="s">
        <v>4290</v>
      </c>
      <c r="D1461" t="s">
        <v>35</v>
      </c>
      <c r="E1461" t="s">
        <v>133</v>
      </c>
      <c r="F1461" t="s">
        <v>133</v>
      </c>
      <c r="G1461" t="s">
        <v>133</v>
      </c>
      <c r="H1461" t="s">
        <v>133</v>
      </c>
      <c r="I1461" t="s">
        <v>133</v>
      </c>
      <c r="M1461" t="s">
        <v>291</v>
      </c>
      <c r="O1461" t="s">
        <v>161</v>
      </c>
      <c r="T1461" t="s">
        <v>487</v>
      </c>
    </row>
    <row r="1462" spans="1:20" x14ac:dyDescent="0.2">
      <c r="A1462" t="s">
        <v>4293</v>
      </c>
      <c r="B1462" t="s">
        <v>4294</v>
      </c>
      <c r="C1462" t="s">
        <v>4295</v>
      </c>
      <c r="D1462" t="s">
        <v>14</v>
      </c>
      <c r="E1462" t="s">
        <v>133</v>
      </c>
      <c r="K1462" t="s">
        <v>4296</v>
      </c>
      <c r="L1462" t="s">
        <v>160</v>
      </c>
      <c r="O1462" t="s">
        <v>161</v>
      </c>
    </row>
    <row r="1463" spans="1:20" x14ac:dyDescent="0.2">
      <c r="A1463" t="s">
        <v>4297</v>
      </c>
      <c r="B1463" t="s">
        <v>4298</v>
      </c>
      <c r="C1463" t="s">
        <v>4299</v>
      </c>
      <c r="D1463" t="s">
        <v>14</v>
      </c>
      <c r="E1463" t="s">
        <v>133</v>
      </c>
      <c r="F1463" t="s">
        <v>133</v>
      </c>
      <c r="G1463" t="s">
        <v>133</v>
      </c>
      <c r="H1463" t="s">
        <v>133</v>
      </c>
      <c r="I1463" t="s">
        <v>133</v>
      </c>
      <c r="K1463" t="s">
        <v>4300</v>
      </c>
      <c r="O1463" t="s">
        <v>161</v>
      </c>
    </row>
    <row r="1464" spans="1:20" x14ac:dyDescent="0.2">
      <c r="A1464" t="s">
        <v>4301</v>
      </c>
      <c r="B1464" t="s">
        <v>4302</v>
      </c>
      <c r="C1464" t="s">
        <v>4303</v>
      </c>
      <c r="D1464" t="s">
        <v>24</v>
      </c>
      <c r="E1464" t="s">
        <v>133</v>
      </c>
      <c r="F1464" t="s">
        <v>133</v>
      </c>
      <c r="H1464" t="s">
        <v>133</v>
      </c>
      <c r="O1464" t="s">
        <v>511</v>
      </c>
      <c r="R1464" t="s">
        <v>1674</v>
      </c>
      <c r="S1464" t="s">
        <v>1675</v>
      </c>
      <c r="T1464" t="s">
        <v>487</v>
      </c>
    </row>
    <row r="1465" spans="1:20" x14ac:dyDescent="0.2">
      <c r="A1465" t="s">
        <v>4304</v>
      </c>
      <c r="B1465" t="s">
        <v>4305</v>
      </c>
      <c r="C1465" t="s">
        <v>4306</v>
      </c>
      <c r="D1465" t="s">
        <v>24</v>
      </c>
      <c r="E1465" t="s">
        <v>505</v>
      </c>
      <c r="F1465" t="s">
        <v>133</v>
      </c>
      <c r="G1465" t="s">
        <v>133</v>
      </c>
      <c r="H1465" t="s">
        <v>133</v>
      </c>
      <c r="I1465" t="s">
        <v>133</v>
      </c>
      <c r="O1465" t="s">
        <v>161</v>
      </c>
      <c r="R1465" t="s">
        <v>1219</v>
      </c>
      <c r="S1465" t="s">
        <v>1220</v>
      </c>
      <c r="T1465" t="s">
        <v>487</v>
      </c>
    </row>
    <row r="1466" spans="1:20" x14ac:dyDescent="0.2">
      <c r="A1466" t="s">
        <v>4304</v>
      </c>
      <c r="B1466" t="s">
        <v>4305</v>
      </c>
      <c r="C1466" t="s">
        <v>4306</v>
      </c>
      <c r="D1466" t="s">
        <v>14</v>
      </c>
      <c r="E1466" t="s">
        <v>255</v>
      </c>
      <c r="F1466" t="s">
        <v>133</v>
      </c>
      <c r="G1466" t="s">
        <v>133</v>
      </c>
      <c r="H1466" t="s">
        <v>133</v>
      </c>
      <c r="I1466" t="s">
        <v>133</v>
      </c>
      <c r="K1466" t="s">
        <v>4290</v>
      </c>
      <c r="O1466" t="s">
        <v>161</v>
      </c>
    </row>
    <row r="1467" spans="1:20" x14ac:dyDescent="0.2">
      <c r="A1467" t="s">
        <v>4307</v>
      </c>
      <c r="B1467" t="s">
        <v>4308</v>
      </c>
      <c r="C1467" t="s">
        <v>4309</v>
      </c>
      <c r="D1467" t="s">
        <v>14</v>
      </c>
      <c r="E1467" t="s">
        <v>133</v>
      </c>
      <c r="F1467" t="s">
        <v>133</v>
      </c>
      <c r="G1467" t="s">
        <v>133</v>
      </c>
      <c r="H1467" t="s">
        <v>133</v>
      </c>
      <c r="I1467" t="s">
        <v>133</v>
      </c>
      <c r="K1467" t="s">
        <v>4310</v>
      </c>
      <c r="O1467" t="s">
        <v>161</v>
      </c>
    </row>
    <row r="1468" spans="1:20" x14ac:dyDescent="0.2">
      <c r="A1468" t="s">
        <v>4311</v>
      </c>
      <c r="B1468" t="s">
        <v>4312</v>
      </c>
      <c r="C1468" t="s">
        <v>4310</v>
      </c>
      <c r="D1468" t="s">
        <v>24</v>
      </c>
      <c r="E1468" t="s">
        <v>133</v>
      </c>
      <c r="F1468" t="s">
        <v>133</v>
      </c>
      <c r="G1468" t="s">
        <v>133</v>
      </c>
      <c r="H1468" t="s">
        <v>133</v>
      </c>
      <c r="I1468" t="s">
        <v>133</v>
      </c>
      <c r="O1468" t="s">
        <v>161</v>
      </c>
      <c r="R1468" t="s">
        <v>1219</v>
      </c>
      <c r="S1468" t="s">
        <v>1220</v>
      </c>
      <c r="T1468" t="s">
        <v>487</v>
      </c>
    </row>
    <row r="1469" spans="1:20" x14ac:dyDescent="0.2">
      <c r="A1469" t="s">
        <v>4313</v>
      </c>
      <c r="B1469" t="s">
        <v>4314</v>
      </c>
      <c r="C1469" t="s">
        <v>4315</v>
      </c>
      <c r="D1469" t="s">
        <v>14</v>
      </c>
      <c r="E1469" t="s">
        <v>133</v>
      </c>
      <c r="F1469" t="s">
        <v>133</v>
      </c>
      <c r="G1469" t="s">
        <v>133</v>
      </c>
      <c r="H1469" t="s">
        <v>133</v>
      </c>
      <c r="I1469" t="s">
        <v>133</v>
      </c>
      <c r="K1469" t="s">
        <v>4316</v>
      </c>
      <c r="O1469" t="s">
        <v>161</v>
      </c>
    </row>
    <row r="1470" spans="1:20" x14ac:dyDescent="0.2">
      <c r="A1470" t="s">
        <v>4317</v>
      </c>
      <c r="B1470" t="s">
        <v>4318</v>
      </c>
      <c r="C1470" t="s">
        <v>4319</v>
      </c>
      <c r="D1470" t="s">
        <v>24</v>
      </c>
      <c r="E1470" t="s">
        <v>133</v>
      </c>
      <c r="F1470" t="s">
        <v>133</v>
      </c>
      <c r="G1470" t="s">
        <v>133</v>
      </c>
      <c r="H1470" t="s">
        <v>133</v>
      </c>
      <c r="I1470" t="s">
        <v>133</v>
      </c>
      <c r="O1470" t="s">
        <v>161</v>
      </c>
      <c r="R1470" t="s">
        <v>4320</v>
      </c>
      <c r="S1470" t="s">
        <v>4321</v>
      </c>
      <c r="T1470" t="s">
        <v>487</v>
      </c>
    </row>
    <row r="1471" spans="1:20" x14ac:dyDescent="0.2">
      <c r="A1471" t="s">
        <v>4322</v>
      </c>
      <c r="B1471" t="s">
        <v>4323</v>
      </c>
      <c r="C1471" t="s">
        <v>4324</v>
      </c>
      <c r="D1471" t="s">
        <v>24</v>
      </c>
      <c r="E1471" t="s">
        <v>133</v>
      </c>
      <c r="F1471" t="s">
        <v>133</v>
      </c>
      <c r="G1471" t="s">
        <v>133</v>
      </c>
      <c r="H1471" t="s">
        <v>133</v>
      </c>
      <c r="I1471" t="s">
        <v>133</v>
      </c>
      <c r="O1471" t="s">
        <v>161</v>
      </c>
      <c r="R1471" t="s">
        <v>1219</v>
      </c>
      <c r="S1471" t="s">
        <v>1220</v>
      </c>
      <c r="T1471" t="s">
        <v>487</v>
      </c>
    </row>
    <row r="1472" spans="1:20" x14ac:dyDescent="0.2">
      <c r="A1472" t="s">
        <v>4325</v>
      </c>
      <c r="B1472" t="s">
        <v>4326</v>
      </c>
      <c r="C1472" t="s">
        <v>4327</v>
      </c>
      <c r="D1472" t="s">
        <v>14</v>
      </c>
      <c r="E1472" t="s">
        <v>133</v>
      </c>
      <c r="F1472" t="s">
        <v>133</v>
      </c>
      <c r="G1472" t="s">
        <v>133</v>
      </c>
      <c r="H1472" t="s">
        <v>133</v>
      </c>
      <c r="I1472" t="s">
        <v>133</v>
      </c>
      <c r="K1472" t="s">
        <v>4328</v>
      </c>
      <c r="O1472" t="s">
        <v>161</v>
      </c>
    </row>
    <row r="1473" spans="1:20" x14ac:dyDescent="0.2">
      <c r="A1473" t="s">
        <v>4329</v>
      </c>
      <c r="B1473" t="s">
        <v>4330</v>
      </c>
      <c r="C1473" t="s">
        <v>4331</v>
      </c>
      <c r="D1473" t="s">
        <v>14</v>
      </c>
      <c r="E1473" t="s">
        <v>133</v>
      </c>
      <c r="F1473" t="s">
        <v>133</v>
      </c>
      <c r="G1473" t="s">
        <v>133</v>
      </c>
      <c r="H1473" t="s">
        <v>133</v>
      </c>
      <c r="I1473" t="s">
        <v>133</v>
      </c>
      <c r="K1473" t="s">
        <v>4332</v>
      </c>
      <c r="O1473" t="s">
        <v>161</v>
      </c>
    </row>
    <row r="1474" spans="1:20" x14ac:dyDescent="0.2">
      <c r="A1474" t="s">
        <v>4333</v>
      </c>
      <c r="B1474" t="s">
        <v>4334</v>
      </c>
      <c r="C1474" t="s">
        <v>4335</v>
      </c>
      <c r="D1474" t="s">
        <v>24</v>
      </c>
      <c r="E1474" t="s">
        <v>133</v>
      </c>
      <c r="F1474" t="s">
        <v>133</v>
      </c>
      <c r="G1474" t="s">
        <v>133</v>
      </c>
      <c r="H1474" t="s">
        <v>133</v>
      </c>
      <c r="I1474" t="s">
        <v>133</v>
      </c>
      <c r="O1474" t="s">
        <v>511</v>
      </c>
      <c r="Q1474" t="s">
        <v>4336</v>
      </c>
      <c r="R1474" t="s">
        <v>1680</v>
      </c>
      <c r="S1474" t="s">
        <v>1658</v>
      </c>
      <c r="T1474" t="s">
        <v>487</v>
      </c>
    </row>
    <row r="1475" spans="1:20" x14ac:dyDescent="0.2">
      <c r="A1475" t="s">
        <v>4337</v>
      </c>
      <c r="B1475" t="s">
        <v>4338</v>
      </c>
      <c r="C1475" t="s">
        <v>4339</v>
      </c>
      <c r="D1475" t="s">
        <v>24</v>
      </c>
      <c r="E1475" t="s">
        <v>133</v>
      </c>
      <c r="F1475" t="s">
        <v>133</v>
      </c>
      <c r="G1475" t="s">
        <v>133</v>
      </c>
      <c r="H1475" t="s">
        <v>133</v>
      </c>
      <c r="I1475" t="s">
        <v>133</v>
      </c>
      <c r="O1475" t="s">
        <v>161</v>
      </c>
      <c r="R1475" t="s">
        <v>1219</v>
      </c>
      <c r="S1475" t="s">
        <v>1220</v>
      </c>
      <c r="T1475" t="s">
        <v>487</v>
      </c>
    </row>
    <row r="1476" spans="1:20" x14ac:dyDescent="0.2">
      <c r="A1476" t="s">
        <v>4340</v>
      </c>
      <c r="B1476" t="s">
        <v>4341</v>
      </c>
      <c r="C1476" t="s">
        <v>4342</v>
      </c>
      <c r="D1476" t="s">
        <v>14</v>
      </c>
      <c r="E1476" t="s">
        <v>133</v>
      </c>
      <c r="F1476" t="s">
        <v>133</v>
      </c>
      <c r="G1476" t="s">
        <v>133</v>
      </c>
      <c r="H1476" t="s">
        <v>133</v>
      </c>
      <c r="I1476" t="s">
        <v>133</v>
      </c>
      <c r="K1476" t="s">
        <v>4343</v>
      </c>
      <c r="O1476" t="s">
        <v>161</v>
      </c>
    </row>
    <row r="1477" spans="1:20" x14ac:dyDescent="0.2">
      <c r="A1477" t="s">
        <v>4344</v>
      </c>
      <c r="B1477" t="s">
        <v>4345</v>
      </c>
      <c r="C1477" t="s">
        <v>4346</v>
      </c>
      <c r="D1477" t="s">
        <v>14</v>
      </c>
      <c r="E1477" t="s">
        <v>133</v>
      </c>
      <c r="F1477" t="s">
        <v>133</v>
      </c>
      <c r="G1477" t="s">
        <v>133</v>
      </c>
      <c r="H1477" t="s">
        <v>133</v>
      </c>
      <c r="I1477" t="s">
        <v>133</v>
      </c>
      <c r="K1477" t="s">
        <v>4347</v>
      </c>
      <c r="O1477" t="s">
        <v>161</v>
      </c>
    </row>
    <row r="1478" spans="1:20" x14ac:dyDescent="0.2">
      <c r="A1478" t="s">
        <v>4348</v>
      </c>
      <c r="B1478" t="s">
        <v>4349</v>
      </c>
      <c r="C1478" t="s">
        <v>4350</v>
      </c>
      <c r="D1478" t="s">
        <v>24</v>
      </c>
      <c r="E1478" t="s">
        <v>133</v>
      </c>
      <c r="O1478" t="s">
        <v>511</v>
      </c>
      <c r="Q1478" t="s">
        <v>4351</v>
      </c>
      <c r="R1478" t="s">
        <v>1680</v>
      </c>
      <c r="S1478" t="s">
        <v>1658</v>
      </c>
      <c r="T1478" t="s">
        <v>487</v>
      </c>
    </row>
    <row r="1479" spans="1:20" x14ac:dyDescent="0.2">
      <c r="A1479" t="s">
        <v>4352</v>
      </c>
      <c r="B1479" t="s">
        <v>4353</v>
      </c>
      <c r="C1479" t="s">
        <v>4354</v>
      </c>
      <c r="D1479" t="s">
        <v>14</v>
      </c>
      <c r="E1479" t="s">
        <v>133</v>
      </c>
      <c r="F1479" t="s">
        <v>133</v>
      </c>
      <c r="G1479" t="s">
        <v>133</v>
      </c>
      <c r="H1479" t="s">
        <v>133</v>
      </c>
      <c r="I1479" t="s">
        <v>133</v>
      </c>
      <c r="K1479" t="s">
        <v>4355</v>
      </c>
      <c r="O1479" t="s">
        <v>161</v>
      </c>
    </row>
    <row r="1480" spans="1:20" x14ac:dyDescent="0.2">
      <c r="A1480" t="s">
        <v>4356</v>
      </c>
      <c r="B1480" t="s">
        <v>4357</v>
      </c>
      <c r="C1480" t="s">
        <v>4358</v>
      </c>
      <c r="D1480" t="s">
        <v>14</v>
      </c>
      <c r="E1480" t="s">
        <v>133</v>
      </c>
      <c r="F1480" t="s">
        <v>133</v>
      </c>
      <c r="G1480" t="s">
        <v>133</v>
      </c>
      <c r="H1480" t="s">
        <v>133</v>
      </c>
      <c r="I1480" t="s">
        <v>133</v>
      </c>
      <c r="K1480" t="s">
        <v>4359</v>
      </c>
      <c r="O1480" t="s">
        <v>161</v>
      </c>
    </row>
    <row r="1481" spans="1:20" x14ac:dyDescent="0.2">
      <c r="A1481" t="s">
        <v>4360</v>
      </c>
      <c r="B1481" t="s">
        <v>4361</v>
      </c>
      <c r="C1481" t="s">
        <v>4362</v>
      </c>
      <c r="D1481" t="s">
        <v>14</v>
      </c>
      <c r="E1481" t="s">
        <v>133</v>
      </c>
      <c r="F1481" t="s">
        <v>133</v>
      </c>
      <c r="G1481" t="s">
        <v>133</v>
      </c>
      <c r="H1481" t="s">
        <v>133</v>
      </c>
      <c r="I1481" t="s">
        <v>133</v>
      </c>
      <c r="K1481" t="s">
        <v>4363</v>
      </c>
      <c r="O1481" t="s">
        <v>161</v>
      </c>
    </row>
    <row r="1482" spans="1:20" x14ac:dyDescent="0.2">
      <c r="A1482" t="s">
        <v>4364</v>
      </c>
      <c r="B1482" t="s">
        <v>4365</v>
      </c>
      <c r="C1482" t="s">
        <v>4366</v>
      </c>
      <c r="D1482" t="s">
        <v>24</v>
      </c>
      <c r="E1482" t="s">
        <v>133</v>
      </c>
      <c r="F1482" t="s">
        <v>133</v>
      </c>
      <c r="G1482" t="s">
        <v>133</v>
      </c>
      <c r="H1482" t="s">
        <v>133</v>
      </c>
      <c r="I1482" t="s">
        <v>133</v>
      </c>
      <c r="O1482" t="s">
        <v>511</v>
      </c>
      <c r="Q1482" t="s">
        <v>4367</v>
      </c>
      <c r="R1482" t="s">
        <v>1004</v>
      </c>
      <c r="S1482" t="s">
        <v>1005</v>
      </c>
      <c r="T1482" t="s">
        <v>487</v>
      </c>
    </row>
    <row r="1483" spans="1:20" x14ac:dyDescent="0.2">
      <c r="A1483" t="s">
        <v>4368</v>
      </c>
      <c r="B1483" t="s">
        <v>4369</v>
      </c>
      <c r="C1483" t="s">
        <v>4370</v>
      </c>
      <c r="D1483" t="s">
        <v>14</v>
      </c>
      <c r="E1483" t="s">
        <v>133</v>
      </c>
      <c r="F1483" t="s">
        <v>133</v>
      </c>
      <c r="G1483" t="s">
        <v>133</v>
      </c>
      <c r="H1483" t="s">
        <v>133</v>
      </c>
      <c r="I1483" t="s">
        <v>133</v>
      </c>
      <c r="K1483" t="s">
        <v>4371</v>
      </c>
      <c r="O1483" t="s">
        <v>161</v>
      </c>
    </row>
    <row r="1484" spans="1:20" x14ac:dyDescent="0.2">
      <c r="A1484" t="s">
        <v>4372</v>
      </c>
      <c r="B1484" t="s">
        <v>4373</v>
      </c>
      <c r="C1484" t="s">
        <v>4374</v>
      </c>
      <c r="D1484" t="s">
        <v>24</v>
      </c>
      <c r="E1484" t="s">
        <v>133</v>
      </c>
      <c r="F1484" t="s">
        <v>133</v>
      </c>
      <c r="G1484" t="s">
        <v>133</v>
      </c>
      <c r="H1484" t="s">
        <v>133</v>
      </c>
      <c r="I1484" t="s">
        <v>133</v>
      </c>
      <c r="O1484" t="s">
        <v>161</v>
      </c>
      <c r="R1484" t="s">
        <v>1689</v>
      </c>
      <c r="S1484" t="s">
        <v>1690</v>
      </c>
      <c r="T1484" t="s">
        <v>487</v>
      </c>
    </row>
    <row r="1485" spans="1:20" x14ac:dyDescent="0.2">
      <c r="A1485" t="s">
        <v>4375</v>
      </c>
      <c r="B1485" t="s">
        <v>4376</v>
      </c>
      <c r="C1485" t="s">
        <v>4377</v>
      </c>
      <c r="D1485" t="s">
        <v>14</v>
      </c>
      <c r="E1485" t="s">
        <v>133</v>
      </c>
      <c r="F1485" t="s">
        <v>133</v>
      </c>
      <c r="G1485" t="s">
        <v>133</v>
      </c>
      <c r="H1485" t="s">
        <v>133</v>
      </c>
      <c r="I1485" t="s">
        <v>133</v>
      </c>
      <c r="K1485" t="s">
        <v>4378</v>
      </c>
      <c r="O1485" t="s">
        <v>161</v>
      </c>
    </row>
    <row r="1486" spans="1:20" x14ac:dyDescent="0.2">
      <c r="A1486" t="s">
        <v>4379</v>
      </c>
      <c r="B1486" t="s">
        <v>4380</v>
      </c>
      <c r="C1486" t="s">
        <v>4381</v>
      </c>
      <c r="D1486" t="s">
        <v>24</v>
      </c>
      <c r="E1486" t="s">
        <v>133</v>
      </c>
      <c r="O1486" t="s">
        <v>511</v>
      </c>
      <c r="Q1486" t="s">
        <v>4382</v>
      </c>
      <c r="R1486" t="s">
        <v>1692</v>
      </c>
      <c r="S1486" t="s">
        <v>1693</v>
      </c>
      <c r="T1486" t="s">
        <v>487</v>
      </c>
    </row>
    <row r="1487" spans="1:20" x14ac:dyDescent="0.2">
      <c r="A1487" t="s">
        <v>4383</v>
      </c>
      <c r="B1487" t="s">
        <v>4384</v>
      </c>
      <c r="C1487" t="s">
        <v>4385</v>
      </c>
      <c r="D1487" t="s">
        <v>14</v>
      </c>
      <c r="E1487" t="s">
        <v>133</v>
      </c>
      <c r="F1487" t="s">
        <v>133</v>
      </c>
      <c r="G1487" t="s">
        <v>133</v>
      </c>
      <c r="H1487" t="s">
        <v>133</v>
      </c>
      <c r="I1487" t="s">
        <v>133</v>
      </c>
      <c r="K1487" t="s">
        <v>4386</v>
      </c>
      <c r="O1487" t="s">
        <v>161</v>
      </c>
    </row>
    <row r="1488" spans="1:20" x14ac:dyDescent="0.2">
      <c r="A1488" t="s">
        <v>4387</v>
      </c>
      <c r="B1488" t="s">
        <v>4388</v>
      </c>
      <c r="C1488" t="s">
        <v>4389</v>
      </c>
      <c r="D1488" t="s">
        <v>14</v>
      </c>
      <c r="E1488" t="s">
        <v>133</v>
      </c>
      <c r="F1488" t="s">
        <v>133</v>
      </c>
      <c r="G1488" t="s">
        <v>133</v>
      </c>
      <c r="H1488" t="s">
        <v>133</v>
      </c>
      <c r="I1488" t="s">
        <v>133</v>
      </c>
      <c r="K1488" t="s">
        <v>4390</v>
      </c>
      <c r="O1488" t="s">
        <v>161</v>
      </c>
    </row>
    <row r="1489" spans="1:20" x14ac:dyDescent="0.2">
      <c r="A1489" t="s">
        <v>4391</v>
      </c>
      <c r="B1489" t="s">
        <v>4392</v>
      </c>
      <c r="C1489" t="s">
        <v>4393</v>
      </c>
      <c r="D1489" t="s">
        <v>35</v>
      </c>
      <c r="E1489" t="s">
        <v>505</v>
      </c>
      <c r="F1489" t="s">
        <v>133</v>
      </c>
      <c r="G1489" t="s">
        <v>133</v>
      </c>
      <c r="H1489" t="s">
        <v>3181</v>
      </c>
      <c r="I1489" t="s">
        <v>133</v>
      </c>
      <c r="O1489" t="s">
        <v>511</v>
      </c>
      <c r="R1489" t="s">
        <v>1682</v>
      </c>
      <c r="S1489" t="s">
        <v>1683</v>
      </c>
      <c r="T1489" t="s">
        <v>487</v>
      </c>
    </row>
    <row r="1490" spans="1:20" x14ac:dyDescent="0.2">
      <c r="A1490" t="s">
        <v>4391</v>
      </c>
      <c r="B1490" t="s">
        <v>4392</v>
      </c>
      <c r="C1490" t="s">
        <v>4393</v>
      </c>
      <c r="D1490" t="s">
        <v>35</v>
      </c>
      <c r="E1490" t="s">
        <v>505</v>
      </c>
      <c r="F1490" t="s">
        <v>133</v>
      </c>
      <c r="G1490" t="s">
        <v>133</v>
      </c>
      <c r="H1490" t="s">
        <v>1684</v>
      </c>
      <c r="I1490" t="s">
        <v>133</v>
      </c>
      <c r="O1490" t="s">
        <v>511</v>
      </c>
      <c r="R1490" t="s">
        <v>1685</v>
      </c>
      <c r="S1490" t="s">
        <v>1686</v>
      </c>
      <c r="T1490" t="s">
        <v>487</v>
      </c>
    </row>
    <row r="1491" spans="1:20" x14ac:dyDescent="0.2">
      <c r="A1491" t="s">
        <v>4391</v>
      </c>
      <c r="B1491" t="s">
        <v>4392</v>
      </c>
      <c r="C1491" t="s">
        <v>4393</v>
      </c>
      <c r="D1491" t="s">
        <v>61</v>
      </c>
      <c r="E1491" t="s">
        <v>255</v>
      </c>
      <c r="F1491" t="s">
        <v>133</v>
      </c>
      <c r="G1491" t="s">
        <v>133</v>
      </c>
      <c r="H1491" t="s">
        <v>2864</v>
      </c>
      <c r="I1491" t="s">
        <v>133</v>
      </c>
      <c r="K1491" t="s">
        <v>4394</v>
      </c>
      <c r="O1491" t="s">
        <v>511</v>
      </c>
    </row>
    <row r="1492" spans="1:20" x14ac:dyDescent="0.2">
      <c r="A1492" t="s">
        <v>4395</v>
      </c>
      <c r="B1492" t="s">
        <v>4396</v>
      </c>
      <c r="C1492" t="s">
        <v>4397</v>
      </c>
      <c r="D1492" t="s">
        <v>14</v>
      </c>
      <c r="E1492" t="s">
        <v>133</v>
      </c>
      <c r="H1492" t="s">
        <v>133</v>
      </c>
      <c r="K1492" t="s">
        <v>4398</v>
      </c>
      <c r="L1492" t="s">
        <v>160</v>
      </c>
      <c r="O1492" t="s">
        <v>161</v>
      </c>
    </row>
    <row r="1493" spans="1:20" x14ac:dyDescent="0.2">
      <c r="A1493" t="s">
        <v>4399</v>
      </c>
      <c r="B1493" t="s">
        <v>4400</v>
      </c>
      <c r="C1493" t="s">
        <v>4401</v>
      </c>
      <c r="D1493" t="s">
        <v>14</v>
      </c>
      <c r="E1493" t="s">
        <v>133</v>
      </c>
      <c r="F1493" t="s">
        <v>133</v>
      </c>
      <c r="G1493" t="s">
        <v>133</v>
      </c>
      <c r="H1493" t="s">
        <v>2864</v>
      </c>
      <c r="I1493" t="s">
        <v>133</v>
      </c>
      <c r="K1493" t="s">
        <v>4402</v>
      </c>
      <c r="O1493" t="s">
        <v>161</v>
      </c>
    </row>
    <row r="1494" spans="1:20" x14ac:dyDescent="0.2">
      <c r="A1494" t="s">
        <v>4403</v>
      </c>
      <c r="B1494" t="s">
        <v>4404</v>
      </c>
      <c r="C1494" t="s">
        <v>4402</v>
      </c>
      <c r="D1494" t="s">
        <v>35</v>
      </c>
      <c r="E1494" t="s">
        <v>133</v>
      </c>
      <c r="F1494" t="s">
        <v>133</v>
      </c>
      <c r="G1494" t="s">
        <v>133</v>
      </c>
      <c r="H1494" t="s">
        <v>133</v>
      </c>
      <c r="I1494" t="s">
        <v>133</v>
      </c>
      <c r="M1494" t="s">
        <v>291</v>
      </c>
      <c r="O1494" t="s">
        <v>161</v>
      </c>
      <c r="T1494" t="s">
        <v>487</v>
      </c>
    </row>
    <row r="1495" spans="1:20" x14ac:dyDescent="0.2">
      <c r="A1495" t="s">
        <v>4405</v>
      </c>
      <c r="B1495" t="s">
        <v>4406</v>
      </c>
      <c r="C1495" t="s">
        <v>4407</v>
      </c>
      <c r="D1495" t="s">
        <v>14</v>
      </c>
      <c r="E1495" t="s">
        <v>133</v>
      </c>
      <c r="K1495" t="s">
        <v>4408</v>
      </c>
      <c r="L1495" t="s">
        <v>160</v>
      </c>
      <c r="O1495" t="s">
        <v>161</v>
      </c>
    </row>
    <row r="1496" spans="1:20" x14ac:dyDescent="0.2">
      <c r="A1496" t="s">
        <v>4409</v>
      </c>
      <c r="B1496" t="s">
        <v>4410</v>
      </c>
      <c r="C1496" t="s">
        <v>4411</v>
      </c>
      <c r="D1496" t="s">
        <v>14</v>
      </c>
      <c r="E1496" t="s">
        <v>133</v>
      </c>
      <c r="K1496" t="s">
        <v>4412</v>
      </c>
      <c r="L1496" t="s">
        <v>160</v>
      </c>
      <c r="O1496" t="s">
        <v>161</v>
      </c>
    </row>
    <row r="1497" spans="1:20" x14ac:dyDescent="0.2">
      <c r="A1497" t="s">
        <v>4413</v>
      </c>
      <c r="B1497" t="s">
        <v>4414</v>
      </c>
      <c r="C1497" t="s">
        <v>4415</v>
      </c>
      <c r="D1497" t="s">
        <v>14</v>
      </c>
      <c r="E1497" t="s">
        <v>133</v>
      </c>
      <c r="H1497" t="s">
        <v>4219</v>
      </c>
      <c r="K1497" t="s">
        <v>4416</v>
      </c>
      <c r="O1497" t="s">
        <v>161</v>
      </c>
    </row>
    <row r="1498" spans="1:20" x14ac:dyDescent="0.2">
      <c r="A1498" t="s">
        <v>4417</v>
      </c>
      <c r="B1498" t="s">
        <v>4418</v>
      </c>
      <c r="C1498" t="s">
        <v>4419</v>
      </c>
      <c r="D1498" t="s">
        <v>14</v>
      </c>
      <c r="E1498" t="s">
        <v>133</v>
      </c>
      <c r="F1498" t="s">
        <v>133</v>
      </c>
      <c r="G1498" t="s">
        <v>133</v>
      </c>
      <c r="H1498" t="s">
        <v>133</v>
      </c>
      <c r="I1498" t="s">
        <v>133</v>
      </c>
      <c r="K1498" t="s">
        <v>4420</v>
      </c>
      <c r="O1498" t="s">
        <v>161</v>
      </c>
    </row>
    <row r="1499" spans="1:20" x14ac:dyDescent="0.2">
      <c r="A1499" t="s">
        <v>4421</v>
      </c>
      <c r="B1499" t="s">
        <v>4422</v>
      </c>
      <c r="C1499" t="s">
        <v>4423</v>
      </c>
      <c r="D1499" t="s">
        <v>24</v>
      </c>
      <c r="E1499" t="s">
        <v>133</v>
      </c>
      <c r="F1499" t="s">
        <v>133</v>
      </c>
      <c r="H1499" t="s">
        <v>133</v>
      </c>
      <c r="O1499" t="s">
        <v>511</v>
      </c>
      <c r="Q1499" t="s">
        <v>4424</v>
      </c>
      <c r="R1499" t="s">
        <v>1674</v>
      </c>
      <c r="S1499" t="s">
        <v>1675</v>
      </c>
      <c r="T1499" t="s">
        <v>487</v>
      </c>
    </row>
    <row r="1500" spans="1:20" x14ac:dyDescent="0.2">
      <c r="A1500" t="s">
        <v>4425</v>
      </c>
      <c r="B1500" t="s">
        <v>4426</v>
      </c>
      <c r="C1500" t="s">
        <v>4427</v>
      </c>
      <c r="D1500" t="s">
        <v>14</v>
      </c>
      <c r="E1500" t="s">
        <v>133</v>
      </c>
      <c r="F1500" t="s">
        <v>133</v>
      </c>
      <c r="G1500" t="s">
        <v>133</v>
      </c>
      <c r="H1500" t="s">
        <v>133</v>
      </c>
      <c r="I1500" t="s">
        <v>133</v>
      </c>
      <c r="K1500" t="s">
        <v>4428</v>
      </c>
      <c r="O1500" t="s">
        <v>161</v>
      </c>
    </row>
    <row r="1501" spans="1:20" x14ac:dyDescent="0.2">
      <c r="A1501" t="s">
        <v>4429</v>
      </c>
      <c r="B1501" t="s">
        <v>4430</v>
      </c>
      <c r="C1501" t="s">
        <v>4431</v>
      </c>
      <c r="D1501" t="s">
        <v>35</v>
      </c>
      <c r="E1501" t="s">
        <v>505</v>
      </c>
      <c r="F1501" t="s">
        <v>133</v>
      </c>
      <c r="G1501" t="s">
        <v>133</v>
      </c>
      <c r="H1501" t="s">
        <v>133</v>
      </c>
      <c r="I1501" t="s">
        <v>133</v>
      </c>
      <c r="O1501" t="s">
        <v>161</v>
      </c>
      <c r="R1501" t="s">
        <v>1219</v>
      </c>
      <c r="S1501" t="s">
        <v>1220</v>
      </c>
      <c r="T1501" t="s">
        <v>487</v>
      </c>
    </row>
    <row r="1502" spans="1:20" x14ac:dyDescent="0.2">
      <c r="A1502" t="s">
        <v>4429</v>
      </c>
      <c r="B1502" t="s">
        <v>4430</v>
      </c>
      <c r="C1502" t="s">
        <v>4431</v>
      </c>
      <c r="D1502" t="s">
        <v>61</v>
      </c>
      <c r="E1502" t="s">
        <v>255</v>
      </c>
      <c r="F1502" t="s">
        <v>133</v>
      </c>
      <c r="G1502" t="s">
        <v>133</v>
      </c>
      <c r="H1502" t="s">
        <v>133</v>
      </c>
      <c r="I1502" t="s">
        <v>133</v>
      </c>
      <c r="K1502" t="s">
        <v>4402</v>
      </c>
      <c r="O1502" t="s">
        <v>161</v>
      </c>
    </row>
    <row r="1503" spans="1:20" x14ac:dyDescent="0.2">
      <c r="A1503" t="s">
        <v>4432</v>
      </c>
      <c r="B1503" t="s">
        <v>4433</v>
      </c>
      <c r="C1503" t="s">
        <v>4434</v>
      </c>
      <c r="D1503" t="s">
        <v>14</v>
      </c>
      <c r="E1503" t="s">
        <v>133</v>
      </c>
      <c r="F1503" t="s">
        <v>133</v>
      </c>
      <c r="G1503" t="s">
        <v>133</v>
      </c>
      <c r="H1503" t="s">
        <v>133</v>
      </c>
      <c r="I1503" t="s">
        <v>133</v>
      </c>
      <c r="K1503" t="s">
        <v>4435</v>
      </c>
      <c r="O1503" t="s">
        <v>161</v>
      </c>
    </row>
    <row r="1504" spans="1:20" x14ac:dyDescent="0.2">
      <c r="A1504" t="s">
        <v>4436</v>
      </c>
      <c r="B1504" t="s">
        <v>4437</v>
      </c>
      <c r="C1504" t="s">
        <v>4438</v>
      </c>
      <c r="D1504" t="s">
        <v>14</v>
      </c>
      <c r="E1504" t="s">
        <v>133</v>
      </c>
      <c r="F1504" t="s">
        <v>133</v>
      </c>
      <c r="G1504" t="s">
        <v>133</v>
      </c>
      <c r="H1504" t="s">
        <v>133</v>
      </c>
      <c r="I1504" t="s">
        <v>133</v>
      </c>
      <c r="K1504" t="s">
        <v>4439</v>
      </c>
      <c r="O1504" t="s">
        <v>161</v>
      </c>
    </row>
    <row r="1505" spans="1:20" x14ac:dyDescent="0.2">
      <c r="A1505" t="s">
        <v>4440</v>
      </c>
      <c r="B1505" t="s">
        <v>4441</v>
      </c>
      <c r="C1505" t="s">
        <v>4442</v>
      </c>
      <c r="D1505" t="s">
        <v>24</v>
      </c>
      <c r="E1505" t="s">
        <v>133</v>
      </c>
      <c r="O1505" t="s">
        <v>511</v>
      </c>
      <c r="Q1505" t="s">
        <v>4443</v>
      </c>
      <c r="R1505" t="s">
        <v>1680</v>
      </c>
      <c r="S1505" t="s">
        <v>1658</v>
      </c>
      <c r="T1505" t="s">
        <v>487</v>
      </c>
    </row>
    <row r="1506" spans="1:20" x14ac:dyDescent="0.2">
      <c r="A1506" t="s">
        <v>4444</v>
      </c>
      <c r="B1506" t="s">
        <v>4445</v>
      </c>
      <c r="C1506" t="s">
        <v>4446</v>
      </c>
      <c r="D1506" t="s">
        <v>14</v>
      </c>
      <c r="E1506" t="s">
        <v>133</v>
      </c>
      <c r="F1506" t="s">
        <v>133</v>
      </c>
      <c r="G1506" t="s">
        <v>133</v>
      </c>
      <c r="H1506" t="s">
        <v>133</v>
      </c>
      <c r="I1506" t="s">
        <v>133</v>
      </c>
      <c r="K1506" t="s">
        <v>4447</v>
      </c>
      <c r="O1506" t="s">
        <v>161</v>
      </c>
    </row>
    <row r="1507" spans="1:20" x14ac:dyDescent="0.2">
      <c r="A1507" t="s">
        <v>4448</v>
      </c>
      <c r="B1507" t="s">
        <v>4449</v>
      </c>
      <c r="C1507" t="s">
        <v>4450</v>
      </c>
      <c r="D1507" t="s">
        <v>14</v>
      </c>
      <c r="E1507" t="s">
        <v>133</v>
      </c>
      <c r="F1507" t="s">
        <v>133</v>
      </c>
      <c r="G1507" t="s">
        <v>133</v>
      </c>
      <c r="H1507" t="s">
        <v>133</v>
      </c>
      <c r="I1507" t="s">
        <v>133</v>
      </c>
      <c r="K1507" t="s">
        <v>4451</v>
      </c>
      <c r="O1507" t="s">
        <v>161</v>
      </c>
    </row>
    <row r="1508" spans="1:20" x14ac:dyDescent="0.2">
      <c r="A1508" t="s">
        <v>4452</v>
      </c>
      <c r="B1508" t="s">
        <v>4453</v>
      </c>
      <c r="C1508" t="s">
        <v>4454</v>
      </c>
      <c r="D1508" t="s">
        <v>24</v>
      </c>
      <c r="E1508" t="s">
        <v>133</v>
      </c>
      <c r="F1508" t="s">
        <v>133</v>
      </c>
      <c r="G1508" t="s">
        <v>133</v>
      </c>
      <c r="H1508" t="s">
        <v>133</v>
      </c>
      <c r="I1508" t="s">
        <v>133</v>
      </c>
      <c r="O1508" t="s">
        <v>511</v>
      </c>
      <c r="Q1508" t="s">
        <v>4455</v>
      </c>
      <c r="R1508" t="s">
        <v>1004</v>
      </c>
      <c r="S1508" t="s">
        <v>1005</v>
      </c>
      <c r="T1508" t="s">
        <v>487</v>
      </c>
    </row>
    <row r="1509" spans="1:20" x14ac:dyDescent="0.2">
      <c r="A1509" t="s">
        <v>4456</v>
      </c>
      <c r="B1509" t="s">
        <v>4457</v>
      </c>
      <c r="C1509" t="s">
        <v>4458</v>
      </c>
      <c r="D1509" t="s">
        <v>24</v>
      </c>
      <c r="E1509" t="s">
        <v>133</v>
      </c>
      <c r="F1509" t="s">
        <v>133</v>
      </c>
      <c r="G1509" t="s">
        <v>133</v>
      </c>
      <c r="H1509" t="s">
        <v>133</v>
      </c>
      <c r="I1509" t="s">
        <v>133</v>
      </c>
      <c r="O1509" t="s">
        <v>161</v>
      </c>
      <c r="R1509" t="s">
        <v>1689</v>
      </c>
      <c r="S1509" t="s">
        <v>1690</v>
      </c>
      <c r="T1509" t="s">
        <v>487</v>
      </c>
    </row>
    <row r="1510" spans="1:20" x14ac:dyDescent="0.2">
      <c r="A1510" t="s">
        <v>4459</v>
      </c>
      <c r="B1510" t="s">
        <v>4460</v>
      </c>
      <c r="C1510" t="s">
        <v>4461</v>
      </c>
      <c r="D1510" t="s">
        <v>14</v>
      </c>
      <c r="E1510" t="s">
        <v>133</v>
      </c>
      <c r="F1510" t="s">
        <v>133</v>
      </c>
      <c r="G1510" t="s">
        <v>133</v>
      </c>
      <c r="H1510" t="s">
        <v>133</v>
      </c>
      <c r="I1510" t="s">
        <v>133</v>
      </c>
      <c r="K1510" t="s">
        <v>4462</v>
      </c>
      <c r="O1510" t="s">
        <v>161</v>
      </c>
    </row>
    <row r="1511" spans="1:20" x14ac:dyDescent="0.2">
      <c r="A1511" t="s">
        <v>4463</v>
      </c>
      <c r="B1511" t="s">
        <v>4464</v>
      </c>
      <c r="C1511" t="s">
        <v>4465</v>
      </c>
      <c r="D1511" t="s">
        <v>24</v>
      </c>
      <c r="E1511" t="s">
        <v>133</v>
      </c>
      <c r="O1511" t="s">
        <v>511</v>
      </c>
      <c r="Q1511" t="s">
        <v>4466</v>
      </c>
      <c r="R1511" t="s">
        <v>1692</v>
      </c>
      <c r="S1511" t="s">
        <v>1693</v>
      </c>
      <c r="T1511" t="s">
        <v>487</v>
      </c>
    </row>
    <row r="1512" spans="1:20" x14ac:dyDescent="0.2">
      <c r="A1512" t="s">
        <v>4467</v>
      </c>
      <c r="B1512" t="s">
        <v>4468</v>
      </c>
      <c r="C1512" t="s">
        <v>4469</v>
      </c>
      <c r="D1512" t="s">
        <v>14</v>
      </c>
      <c r="E1512" t="s">
        <v>133</v>
      </c>
      <c r="F1512" t="s">
        <v>133</v>
      </c>
      <c r="G1512" t="s">
        <v>133</v>
      </c>
      <c r="H1512" t="s">
        <v>133</v>
      </c>
      <c r="I1512" t="s">
        <v>133</v>
      </c>
      <c r="K1512" t="s">
        <v>4470</v>
      </c>
      <c r="O1512" t="s">
        <v>161</v>
      </c>
    </row>
    <row r="1513" spans="1:20" x14ac:dyDescent="0.2">
      <c r="A1513" t="s">
        <v>4471</v>
      </c>
      <c r="B1513" t="s">
        <v>4472</v>
      </c>
      <c r="C1513" t="s">
        <v>4473</v>
      </c>
      <c r="D1513" t="s">
        <v>24</v>
      </c>
      <c r="E1513" t="s">
        <v>133</v>
      </c>
      <c r="F1513" t="s">
        <v>133</v>
      </c>
      <c r="G1513" t="s">
        <v>133</v>
      </c>
      <c r="H1513" t="s">
        <v>133</v>
      </c>
      <c r="I1513" t="s">
        <v>133</v>
      </c>
      <c r="O1513" t="s">
        <v>511</v>
      </c>
      <c r="R1513" t="s">
        <v>1674</v>
      </c>
      <c r="S1513" t="s">
        <v>1675</v>
      </c>
      <c r="T1513" t="s">
        <v>487</v>
      </c>
    </row>
    <row r="1514" spans="1:20" x14ac:dyDescent="0.2">
      <c r="A1514" t="s">
        <v>4474</v>
      </c>
      <c r="B1514" t="s">
        <v>4475</v>
      </c>
      <c r="C1514" t="s">
        <v>4476</v>
      </c>
      <c r="D1514" t="s">
        <v>35</v>
      </c>
      <c r="E1514" t="s">
        <v>133</v>
      </c>
      <c r="F1514" t="s">
        <v>133</v>
      </c>
      <c r="G1514" t="s">
        <v>133</v>
      </c>
      <c r="H1514" t="s">
        <v>133</v>
      </c>
      <c r="I1514" t="s">
        <v>133</v>
      </c>
      <c r="O1514" t="s">
        <v>161</v>
      </c>
      <c r="R1514" t="s">
        <v>1219</v>
      </c>
      <c r="S1514" t="s">
        <v>1220</v>
      </c>
      <c r="T1514" t="s">
        <v>487</v>
      </c>
    </row>
    <row r="1515" spans="1:20" x14ac:dyDescent="0.2">
      <c r="A1515" t="s">
        <v>4477</v>
      </c>
      <c r="B1515" t="s">
        <v>4478</v>
      </c>
      <c r="C1515" t="s">
        <v>4479</v>
      </c>
      <c r="D1515" t="s">
        <v>14</v>
      </c>
      <c r="E1515" t="s">
        <v>133</v>
      </c>
      <c r="F1515" t="s">
        <v>133</v>
      </c>
      <c r="G1515" t="s">
        <v>133</v>
      </c>
      <c r="H1515" t="s">
        <v>133</v>
      </c>
      <c r="I1515" t="s">
        <v>133</v>
      </c>
      <c r="K1515" t="s">
        <v>4480</v>
      </c>
      <c r="O1515" t="s">
        <v>161</v>
      </c>
    </row>
    <row r="1516" spans="1:20" x14ac:dyDescent="0.2">
      <c r="A1516" t="s">
        <v>4481</v>
      </c>
      <c r="B1516" t="s">
        <v>4482</v>
      </c>
      <c r="C1516" t="s">
        <v>4483</v>
      </c>
      <c r="D1516" t="s">
        <v>14</v>
      </c>
      <c r="E1516" t="s">
        <v>133</v>
      </c>
      <c r="F1516" t="s">
        <v>133</v>
      </c>
      <c r="G1516" t="s">
        <v>133</v>
      </c>
      <c r="H1516" t="s">
        <v>133</v>
      </c>
      <c r="I1516" t="s">
        <v>133</v>
      </c>
      <c r="K1516" t="s">
        <v>4484</v>
      </c>
      <c r="O1516" t="s">
        <v>161</v>
      </c>
    </row>
    <row r="1517" spans="1:20" x14ac:dyDescent="0.2">
      <c r="A1517" t="s">
        <v>4485</v>
      </c>
      <c r="B1517" t="s">
        <v>4486</v>
      </c>
      <c r="C1517" t="s">
        <v>4487</v>
      </c>
      <c r="D1517" t="s">
        <v>24</v>
      </c>
      <c r="E1517" t="s">
        <v>133</v>
      </c>
      <c r="O1517" t="s">
        <v>511</v>
      </c>
      <c r="Q1517" t="s">
        <v>4488</v>
      </c>
      <c r="R1517" t="s">
        <v>1680</v>
      </c>
      <c r="S1517" t="s">
        <v>1658</v>
      </c>
      <c r="T1517" t="s">
        <v>487</v>
      </c>
    </row>
    <row r="1518" spans="1:20" x14ac:dyDescent="0.2">
      <c r="A1518" t="s">
        <v>4489</v>
      </c>
      <c r="B1518" t="s">
        <v>4490</v>
      </c>
      <c r="C1518" t="s">
        <v>4491</v>
      </c>
      <c r="D1518" t="s">
        <v>14</v>
      </c>
      <c r="E1518" t="s">
        <v>133</v>
      </c>
      <c r="F1518" t="s">
        <v>133</v>
      </c>
      <c r="G1518" t="s">
        <v>133</v>
      </c>
      <c r="H1518" t="s">
        <v>133</v>
      </c>
      <c r="I1518" t="s">
        <v>133</v>
      </c>
      <c r="K1518" t="s">
        <v>4492</v>
      </c>
      <c r="O1518" t="s">
        <v>161</v>
      </c>
    </row>
    <row r="1519" spans="1:20" x14ac:dyDescent="0.2">
      <c r="A1519" t="s">
        <v>4493</v>
      </c>
      <c r="B1519" t="s">
        <v>4494</v>
      </c>
      <c r="C1519" t="s">
        <v>4495</v>
      </c>
      <c r="D1519" t="s">
        <v>14</v>
      </c>
      <c r="E1519" t="s">
        <v>133</v>
      </c>
      <c r="F1519" t="s">
        <v>133</v>
      </c>
      <c r="G1519" t="s">
        <v>133</v>
      </c>
      <c r="H1519" t="s">
        <v>133</v>
      </c>
      <c r="I1519" t="s">
        <v>133</v>
      </c>
      <c r="K1519" t="s">
        <v>4496</v>
      </c>
      <c r="O1519" t="s">
        <v>161</v>
      </c>
    </row>
    <row r="1520" spans="1:20" x14ac:dyDescent="0.2">
      <c r="A1520" t="s">
        <v>4497</v>
      </c>
      <c r="B1520" t="s">
        <v>4498</v>
      </c>
      <c r="C1520" t="s">
        <v>4499</v>
      </c>
      <c r="D1520" t="s">
        <v>24</v>
      </c>
      <c r="E1520" t="s">
        <v>133</v>
      </c>
      <c r="F1520" t="s">
        <v>133</v>
      </c>
      <c r="G1520" t="s">
        <v>133</v>
      </c>
      <c r="H1520" t="s">
        <v>133</v>
      </c>
      <c r="I1520" t="s">
        <v>133</v>
      </c>
      <c r="O1520" t="s">
        <v>511</v>
      </c>
      <c r="Q1520" t="s">
        <v>4500</v>
      </c>
      <c r="R1520" t="s">
        <v>1004</v>
      </c>
      <c r="S1520" t="s">
        <v>1005</v>
      </c>
      <c r="T1520" t="s">
        <v>487</v>
      </c>
    </row>
    <row r="1521" spans="1:20" x14ac:dyDescent="0.2">
      <c r="A1521" t="s">
        <v>4501</v>
      </c>
      <c r="B1521" t="s">
        <v>4502</v>
      </c>
      <c r="C1521" t="s">
        <v>4503</v>
      </c>
      <c r="D1521" t="s">
        <v>24</v>
      </c>
      <c r="E1521" t="s">
        <v>133</v>
      </c>
      <c r="F1521" t="s">
        <v>133</v>
      </c>
      <c r="G1521" t="s">
        <v>133</v>
      </c>
      <c r="H1521" t="s">
        <v>133</v>
      </c>
      <c r="I1521" t="s">
        <v>133</v>
      </c>
      <c r="O1521" t="s">
        <v>161</v>
      </c>
      <c r="R1521" t="s">
        <v>1689</v>
      </c>
      <c r="S1521" t="s">
        <v>1690</v>
      </c>
      <c r="T1521" t="s">
        <v>487</v>
      </c>
    </row>
    <row r="1522" spans="1:20" x14ac:dyDescent="0.2">
      <c r="A1522" t="s">
        <v>4504</v>
      </c>
      <c r="B1522" t="s">
        <v>4505</v>
      </c>
      <c r="C1522" t="s">
        <v>4506</v>
      </c>
      <c r="D1522" t="s">
        <v>14</v>
      </c>
      <c r="E1522" t="s">
        <v>133</v>
      </c>
      <c r="F1522" t="s">
        <v>133</v>
      </c>
      <c r="G1522" t="s">
        <v>133</v>
      </c>
      <c r="H1522" t="s">
        <v>133</v>
      </c>
      <c r="I1522" t="s">
        <v>133</v>
      </c>
      <c r="K1522" t="s">
        <v>4507</v>
      </c>
      <c r="O1522" t="s">
        <v>161</v>
      </c>
    </row>
    <row r="1523" spans="1:20" x14ac:dyDescent="0.2">
      <c r="A1523" t="s">
        <v>4508</v>
      </c>
      <c r="B1523" t="s">
        <v>4509</v>
      </c>
      <c r="C1523" t="s">
        <v>4510</v>
      </c>
      <c r="D1523" t="s">
        <v>24</v>
      </c>
      <c r="E1523" t="s">
        <v>133</v>
      </c>
      <c r="O1523" t="s">
        <v>511</v>
      </c>
      <c r="Q1523" t="s">
        <v>4511</v>
      </c>
      <c r="R1523" t="s">
        <v>1692</v>
      </c>
      <c r="S1523" t="s">
        <v>1693</v>
      </c>
      <c r="T1523" t="s">
        <v>487</v>
      </c>
    </row>
    <row r="1524" spans="1:20" x14ac:dyDescent="0.2">
      <c r="A1524" t="s">
        <v>4512</v>
      </c>
      <c r="B1524" t="s">
        <v>4513</v>
      </c>
      <c r="C1524" t="s">
        <v>4514</v>
      </c>
      <c r="D1524" t="s">
        <v>14</v>
      </c>
      <c r="E1524" t="s">
        <v>133</v>
      </c>
      <c r="F1524" t="s">
        <v>133</v>
      </c>
      <c r="G1524" t="s">
        <v>133</v>
      </c>
      <c r="H1524" t="s">
        <v>133</v>
      </c>
      <c r="I1524" t="s">
        <v>133</v>
      </c>
      <c r="K1524" t="s">
        <v>4515</v>
      </c>
      <c r="O1524" t="s">
        <v>161</v>
      </c>
    </row>
    <row r="1525" spans="1:20" x14ac:dyDescent="0.2">
      <c r="A1525" t="s">
        <v>4516</v>
      </c>
      <c r="B1525" t="s">
        <v>4517</v>
      </c>
      <c r="C1525" t="s">
        <v>4518</v>
      </c>
      <c r="D1525" t="s">
        <v>24</v>
      </c>
      <c r="E1525" t="s">
        <v>133</v>
      </c>
      <c r="F1525" t="s">
        <v>133</v>
      </c>
      <c r="H1525" t="s">
        <v>133</v>
      </c>
      <c r="O1525" t="s">
        <v>511</v>
      </c>
      <c r="R1525" t="s">
        <v>1674</v>
      </c>
      <c r="S1525" t="s">
        <v>1675</v>
      </c>
      <c r="T1525" t="s">
        <v>487</v>
      </c>
    </row>
    <row r="1526" spans="1:20" x14ac:dyDescent="0.2">
      <c r="A1526" t="s">
        <v>4519</v>
      </c>
      <c r="B1526" t="s">
        <v>4520</v>
      </c>
      <c r="C1526" t="s">
        <v>4521</v>
      </c>
      <c r="D1526" t="s">
        <v>35</v>
      </c>
      <c r="E1526" t="s">
        <v>133</v>
      </c>
      <c r="F1526" t="s">
        <v>133</v>
      </c>
      <c r="G1526" t="s">
        <v>133</v>
      </c>
      <c r="H1526" t="s">
        <v>133</v>
      </c>
      <c r="I1526" t="s">
        <v>133</v>
      </c>
      <c r="O1526" t="s">
        <v>161</v>
      </c>
      <c r="R1526" t="s">
        <v>1219</v>
      </c>
      <c r="S1526" t="s">
        <v>1220</v>
      </c>
      <c r="T1526" t="s">
        <v>487</v>
      </c>
    </row>
    <row r="1527" spans="1:20" x14ac:dyDescent="0.2">
      <c r="A1527" t="s">
        <v>4522</v>
      </c>
      <c r="B1527" t="s">
        <v>4523</v>
      </c>
      <c r="C1527" t="s">
        <v>4524</v>
      </c>
      <c r="D1527" t="s">
        <v>14</v>
      </c>
      <c r="E1527" t="s">
        <v>133</v>
      </c>
      <c r="F1527" t="s">
        <v>133</v>
      </c>
      <c r="G1527" t="s">
        <v>133</v>
      </c>
      <c r="H1527" t="s">
        <v>133</v>
      </c>
      <c r="I1527" t="s">
        <v>133</v>
      </c>
      <c r="K1527" t="s">
        <v>4525</v>
      </c>
      <c r="O1527" t="s">
        <v>161</v>
      </c>
    </row>
    <row r="1528" spans="1:20" x14ac:dyDescent="0.2">
      <c r="A1528" t="s">
        <v>4526</v>
      </c>
      <c r="B1528" t="s">
        <v>4527</v>
      </c>
      <c r="C1528" t="s">
        <v>4525</v>
      </c>
      <c r="D1528" t="s">
        <v>35</v>
      </c>
      <c r="E1528" t="s">
        <v>133</v>
      </c>
      <c r="F1528" t="s">
        <v>133</v>
      </c>
      <c r="G1528" t="s">
        <v>133</v>
      </c>
      <c r="H1528" t="s">
        <v>133</v>
      </c>
      <c r="I1528" t="s">
        <v>133</v>
      </c>
      <c r="O1528" t="s">
        <v>161</v>
      </c>
      <c r="R1528" t="s">
        <v>1219</v>
      </c>
      <c r="S1528" t="s">
        <v>1220</v>
      </c>
      <c r="T1528" t="s">
        <v>487</v>
      </c>
    </row>
    <row r="1529" spans="1:20" x14ac:dyDescent="0.2">
      <c r="A1529" t="s">
        <v>4528</v>
      </c>
      <c r="B1529" t="s">
        <v>4529</v>
      </c>
      <c r="C1529" t="s">
        <v>4530</v>
      </c>
      <c r="D1529" t="s">
        <v>14</v>
      </c>
      <c r="E1529" t="s">
        <v>133</v>
      </c>
      <c r="F1529" t="s">
        <v>133</v>
      </c>
      <c r="G1529" t="s">
        <v>133</v>
      </c>
      <c r="H1529" t="s">
        <v>133</v>
      </c>
      <c r="I1529" t="s">
        <v>133</v>
      </c>
      <c r="K1529" t="s">
        <v>4531</v>
      </c>
      <c r="O1529" t="s">
        <v>161</v>
      </c>
    </row>
    <row r="1530" spans="1:20" x14ac:dyDescent="0.2">
      <c r="A1530" t="s">
        <v>4532</v>
      </c>
      <c r="B1530" t="s">
        <v>4533</v>
      </c>
      <c r="C1530" t="s">
        <v>4531</v>
      </c>
      <c r="D1530" t="s">
        <v>35</v>
      </c>
      <c r="E1530" t="s">
        <v>133</v>
      </c>
      <c r="F1530" t="s">
        <v>133</v>
      </c>
      <c r="G1530" t="s">
        <v>133</v>
      </c>
      <c r="H1530" t="s">
        <v>133</v>
      </c>
      <c r="I1530" t="s">
        <v>133</v>
      </c>
      <c r="O1530" t="s">
        <v>161</v>
      </c>
      <c r="R1530" t="s">
        <v>1219</v>
      </c>
      <c r="S1530" t="s">
        <v>1220</v>
      </c>
      <c r="T1530" t="s">
        <v>487</v>
      </c>
    </row>
    <row r="1531" spans="1:20" x14ac:dyDescent="0.2">
      <c r="A1531" t="s">
        <v>4534</v>
      </c>
      <c r="B1531" t="s">
        <v>4535</v>
      </c>
      <c r="C1531" t="s">
        <v>4536</v>
      </c>
      <c r="D1531" t="s">
        <v>14</v>
      </c>
      <c r="E1531" t="s">
        <v>133</v>
      </c>
      <c r="F1531" t="s">
        <v>133</v>
      </c>
      <c r="G1531" t="s">
        <v>133</v>
      </c>
      <c r="H1531" t="s">
        <v>133</v>
      </c>
      <c r="I1531" t="s">
        <v>133</v>
      </c>
      <c r="K1531" t="s">
        <v>4537</v>
      </c>
      <c r="O1531" t="s">
        <v>161</v>
      </c>
    </row>
    <row r="1532" spans="1:20" x14ac:dyDescent="0.2">
      <c r="A1532" t="s">
        <v>4538</v>
      </c>
      <c r="B1532" t="s">
        <v>4539</v>
      </c>
      <c r="C1532" t="s">
        <v>4537</v>
      </c>
      <c r="D1532" t="s">
        <v>35</v>
      </c>
      <c r="E1532" t="s">
        <v>133</v>
      </c>
      <c r="F1532" t="s">
        <v>133</v>
      </c>
      <c r="G1532" t="s">
        <v>133</v>
      </c>
      <c r="H1532" t="s">
        <v>133</v>
      </c>
      <c r="I1532" t="s">
        <v>133</v>
      </c>
      <c r="O1532" t="s">
        <v>161</v>
      </c>
      <c r="R1532" t="s">
        <v>1219</v>
      </c>
      <c r="S1532" t="s">
        <v>1220</v>
      </c>
      <c r="T1532" t="s">
        <v>487</v>
      </c>
    </row>
    <row r="1533" spans="1:20" x14ac:dyDescent="0.2">
      <c r="A1533" t="s">
        <v>4540</v>
      </c>
      <c r="B1533" t="s">
        <v>4541</v>
      </c>
      <c r="C1533" t="s">
        <v>4542</v>
      </c>
      <c r="D1533" t="s">
        <v>14</v>
      </c>
      <c r="E1533" t="s">
        <v>505</v>
      </c>
      <c r="K1533">
        <v>3000000</v>
      </c>
      <c r="L1533" t="s">
        <v>4543</v>
      </c>
      <c r="O1533" t="s">
        <v>150</v>
      </c>
      <c r="R1533" t="s">
        <v>1219</v>
      </c>
      <c r="S1533" t="s">
        <v>1220</v>
      </c>
      <c r="T1533" t="s">
        <v>487</v>
      </c>
    </row>
    <row r="1534" spans="1:20" x14ac:dyDescent="0.2">
      <c r="A1534" t="s">
        <v>4540</v>
      </c>
      <c r="B1534" t="s">
        <v>4541</v>
      </c>
      <c r="C1534" t="s">
        <v>4542</v>
      </c>
      <c r="D1534" t="s">
        <v>14</v>
      </c>
      <c r="E1534" t="s">
        <v>255</v>
      </c>
      <c r="K1534">
        <v>0</v>
      </c>
      <c r="L1534" t="s">
        <v>4543</v>
      </c>
      <c r="O1534" t="s">
        <v>150</v>
      </c>
      <c r="R1534" t="s">
        <v>1219</v>
      </c>
      <c r="S1534" t="s">
        <v>1220</v>
      </c>
      <c r="T1534" t="s">
        <v>487</v>
      </c>
    </row>
    <row r="1535" spans="1:20" x14ac:dyDescent="0.2">
      <c r="A1535" t="s">
        <v>4544</v>
      </c>
      <c r="B1535" t="s">
        <v>4545</v>
      </c>
      <c r="C1535" t="s">
        <v>4546</v>
      </c>
      <c r="D1535" t="s">
        <v>24</v>
      </c>
      <c r="E1535" t="s">
        <v>505</v>
      </c>
      <c r="O1535" t="s">
        <v>150</v>
      </c>
      <c r="R1535" t="s">
        <v>1219</v>
      </c>
      <c r="S1535" t="s">
        <v>1220</v>
      </c>
      <c r="T1535" t="s">
        <v>487</v>
      </c>
    </row>
    <row r="1536" spans="1:20" x14ac:dyDescent="0.2">
      <c r="A1536" t="s">
        <v>4544</v>
      </c>
      <c r="B1536" t="s">
        <v>4545</v>
      </c>
      <c r="C1536" t="s">
        <v>4546</v>
      </c>
      <c r="D1536" t="s">
        <v>14</v>
      </c>
      <c r="E1536" t="s">
        <v>255</v>
      </c>
      <c r="K1536">
        <v>0</v>
      </c>
      <c r="L1536" t="s">
        <v>4543</v>
      </c>
      <c r="O1536" t="s">
        <v>150</v>
      </c>
      <c r="R1536" t="s">
        <v>1219</v>
      </c>
      <c r="S1536" t="s">
        <v>1220</v>
      </c>
      <c r="T1536" t="s">
        <v>487</v>
      </c>
    </row>
    <row r="1537" spans="1:20" x14ac:dyDescent="0.2">
      <c r="A1537" t="s">
        <v>4547</v>
      </c>
      <c r="B1537" t="s">
        <v>4548</v>
      </c>
      <c r="C1537" t="s">
        <v>4549</v>
      </c>
      <c r="D1537" t="s">
        <v>14</v>
      </c>
      <c r="E1537" t="s">
        <v>133</v>
      </c>
      <c r="K1537" t="s">
        <v>4550</v>
      </c>
      <c r="O1537" t="s">
        <v>150</v>
      </c>
    </row>
    <row r="1538" spans="1:20" x14ac:dyDescent="0.2">
      <c r="A1538" t="s">
        <v>4551</v>
      </c>
      <c r="B1538" t="s">
        <v>4552</v>
      </c>
      <c r="C1538" t="s">
        <v>2773</v>
      </c>
      <c r="D1538" t="s">
        <v>14</v>
      </c>
      <c r="E1538" t="s">
        <v>133</v>
      </c>
      <c r="F1538" t="s">
        <v>133</v>
      </c>
      <c r="G1538" t="s">
        <v>133</v>
      </c>
      <c r="H1538" t="s">
        <v>133</v>
      </c>
      <c r="I1538" t="s">
        <v>133</v>
      </c>
      <c r="K1538" t="s">
        <v>4553</v>
      </c>
      <c r="O1538" t="s">
        <v>150</v>
      </c>
    </row>
    <row r="1539" spans="1:20" x14ac:dyDescent="0.2">
      <c r="A1539" t="s">
        <v>4554</v>
      </c>
      <c r="B1539" t="s">
        <v>4555</v>
      </c>
      <c r="C1539" t="s">
        <v>4556</v>
      </c>
      <c r="D1539" t="s">
        <v>61</v>
      </c>
      <c r="E1539" t="s">
        <v>133</v>
      </c>
      <c r="F1539" t="s">
        <v>133</v>
      </c>
      <c r="G1539" t="s">
        <v>133</v>
      </c>
      <c r="H1539" t="s">
        <v>133</v>
      </c>
      <c r="I1539" t="s">
        <v>133</v>
      </c>
      <c r="K1539" t="s">
        <v>4557</v>
      </c>
      <c r="O1539" t="s">
        <v>161</v>
      </c>
    </row>
    <row r="1540" spans="1:20" x14ac:dyDescent="0.2">
      <c r="A1540" t="s">
        <v>1659</v>
      </c>
      <c r="B1540" t="s">
        <v>1660</v>
      </c>
      <c r="C1540" t="s">
        <v>410</v>
      </c>
      <c r="D1540" t="s">
        <v>24</v>
      </c>
      <c r="E1540" t="s">
        <v>133</v>
      </c>
      <c r="F1540" t="s">
        <v>133</v>
      </c>
      <c r="G1540" t="s">
        <v>133</v>
      </c>
      <c r="H1540" t="s">
        <v>133</v>
      </c>
      <c r="I1540" t="s">
        <v>133</v>
      </c>
      <c r="M1540" t="s">
        <v>291</v>
      </c>
      <c r="O1540" t="s">
        <v>161</v>
      </c>
      <c r="T1540" t="s">
        <v>487</v>
      </c>
    </row>
    <row r="1541" spans="1:20" x14ac:dyDescent="0.2">
      <c r="A1541" t="s">
        <v>4558</v>
      </c>
      <c r="B1541" t="s">
        <v>4559</v>
      </c>
      <c r="C1541" t="s">
        <v>4560</v>
      </c>
      <c r="D1541" t="s">
        <v>61</v>
      </c>
      <c r="E1541" t="s">
        <v>133</v>
      </c>
      <c r="F1541" t="s">
        <v>133</v>
      </c>
      <c r="G1541" t="s">
        <v>133</v>
      </c>
      <c r="H1541" t="s">
        <v>133</v>
      </c>
      <c r="I1541" t="s">
        <v>133</v>
      </c>
      <c r="K1541" t="s">
        <v>4561</v>
      </c>
      <c r="O1541" t="s">
        <v>161</v>
      </c>
    </row>
    <row r="1542" spans="1:20" x14ac:dyDescent="0.2">
      <c r="A1542" t="s">
        <v>4562</v>
      </c>
      <c r="B1542" t="s">
        <v>4563</v>
      </c>
      <c r="C1542" t="s">
        <v>4564</v>
      </c>
      <c r="D1542" t="s">
        <v>61</v>
      </c>
      <c r="E1542" t="s">
        <v>133</v>
      </c>
      <c r="F1542" t="s">
        <v>133</v>
      </c>
      <c r="G1542" t="s">
        <v>133</v>
      </c>
      <c r="H1542" t="s">
        <v>133</v>
      </c>
      <c r="I1542" t="s">
        <v>133</v>
      </c>
      <c r="K1542" t="s">
        <v>4565</v>
      </c>
      <c r="O1542" t="s">
        <v>161</v>
      </c>
    </row>
    <row r="1543" spans="1:20" x14ac:dyDescent="0.2">
      <c r="A1543" t="s">
        <v>4566</v>
      </c>
      <c r="B1543" t="s">
        <v>4567</v>
      </c>
      <c r="C1543" t="s">
        <v>4568</v>
      </c>
      <c r="D1543" t="s">
        <v>24</v>
      </c>
      <c r="E1543" t="s">
        <v>133</v>
      </c>
      <c r="O1543" t="s">
        <v>511</v>
      </c>
      <c r="Q1543" t="s">
        <v>4569</v>
      </c>
      <c r="R1543" t="s">
        <v>1680</v>
      </c>
      <c r="S1543" t="s">
        <v>1658</v>
      </c>
      <c r="T1543" t="s">
        <v>487</v>
      </c>
    </row>
    <row r="1544" spans="1:20" x14ac:dyDescent="0.2">
      <c r="A1544" t="s">
        <v>4570</v>
      </c>
      <c r="B1544" t="s">
        <v>4571</v>
      </c>
      <c r="C1544" t="s">
        <v>4572</v>
      </c>
      <c r="D1544" t="s">
        <v>61</v>
      </c>
      <c r="E1544" t="s">
        <v>133</v>
      </c>
      <c r="F1544" t="s">
        <v>133</v>
      </c>
      <c r="G1544" t="s">
        <v>133</v>
      </c>
      <c r="H1544" t="s">
        <v>133</v>
      </c>
      <c r="I1544" t="s">
        <v>133</v>
      </c>
      <c r="K1544" t="s">
        <v>4573</v>
      </c>
      <c r="O1544" t="s">
        <v>161</v>
      </c>
    </row>
    <row r="1545" spans="1:20" x14ac:dyDescent="0.2">
      <c r="A1545" t="s">
        <v>4574</v>
      </c>
      <c r="B1545" t="s">
        <v>4575</v>
      </c>
      <c r="C1545" t="s">
        <v>4576</v>
      </c>
      <c r="D1545" t="s">
        <v>61</v>
      </c>
      <c r="E1545" t="s">
        <v>133</v>
      </c>
      <c r="K1545" t="s">
        <v>4577</v>
      </c>
      <c r="L1545" t="s">
        <v>160</v>
      </c>
      <c r="O1545" t="s">
        <v>161</v>
      </c>
    </row>
    <row r="1546" spans="1:20" x14ac:dyDescent="0.2">
      <c r="A1546" t="s">
        <v>4578</v>
      </c>
      <c r="B1546" t="s">
        <v>4579</v>
      </c>
      <c r="C1546" t="s">
        <v>4580</v>
      </c>
      <c r="D1546" t="s">
        <v>61</v>
      </c>
      <c r="E1546" t="s">
        <v>133</v>
      </c>
      <c r="H1546" t="s">
        <v>133</v>
      </c>
      <c r="I1546" t="s">
        <v>133</v>
      </c>
      <c r="J1546" t="s">
        <v>133</v>
      </c>
      <c r="K1546" t="s">
        <v>4581</v>
      </c>
      <c r="O1546" t="s">
        <v>161</v>
      </c>
    </row>
    <row r="1547" spans="1:20" x14ac:dyDescent="0.2">
      <c r="A1547" t="s">
        <v>4582</v>
      </c>
      <c r="B1547" t="s">
        <v>4583</v>
      </c>
      <c r="C1547" t="s">
        <v>4584</v>
      </c>
      <c r="D1547" t="s">
        <v>61</v>
      </c>
      <c r="E1547" t="s">
        <v>133</v>
      </c>
      <c r="H1547" t="s">
        <v>133</v>
      </c>
      <c r="I1547" t="s">
        <v>133</v>
      </c>
      <c r="J1547" t="s">
        <v>133</v>
      </c>
      <c r="K1547" t="s">
        <v>4585</v>
      </c>
      <c r="O1547" t="s">
        <v>161</v>
      </c>
    </row>
    <row r="1548" spans="1:20" x14ac:dyDescent="0.2">
      <c r="A1548" t="s">
        <v>4586</v>
      </c>
      <c r="B1548" t="s">
        <v>4587</v>
      </c>
      <c r="C1548" t="s">
        <v>4588</v>
      </c>
      <c r="D1548" t="s">
        <v>61</v>
      </c>
      <c r="E1548" t="s">
        <v>133</v>
      </c>
      <c r="H1548" t="s">
        <v>133</v>
      </c>
      <c r="I1548" t="s">
        <v>133</v>
      </c>
      <c r="J1548" t="s">
        <v>133</v>
      </c>
      <c r="K1548" t="s">
        <v>4589</v>
      </c>
      <c r="O1548" t="s">
        <v>161</v>
      </c>
    </row>
    <row r="1549" spans="1:20" x14ac:dyDescent="0.2">
      <c r="A1549" t="s">
        <v>4590</v>
      </c>
      <c r="B1549" t="s">
        <v>4591</v>
      </c>
      <c r="C1549" t="s">
        <v>4592</v>
      </c>
      <c r="D1549" t="s">
        <v>61</v>
      </c>
      <c r="E1549" t="s">
        <v>133</v>
      </c>
      <c r="H1549" t="s">
        <v>133</v>
      </c>
      <c r="I1549" t="s">
        <v>133</v>
      </c>
      <c r="J1549" t="s">
        <v>133</v>
      </c>
      <c r="K1549" t="s">
        <v>4593</v>
      </c>
      <c r="O1549" t="s">
        <v>161</v>
      </c>
    </row>
    <row r="1550" spans="1:20" x14ac:dyDescent="0.2">
      <c r="A1550" t="s">
        <v>4594</v>
      </c>
      <c r="B1550" t="s">
        <v>4595</v>
      </c>
      <c r="C1550" t="s">
        <v>4596</v>
      </c>
      <c r="D1550" t="s">
        <v>24</v>
      </c>
      <c r="E1550" t="s">
        <v>133</v>
      </c>
      <c r="H1550" t="s">
        <v>133</v>
      </c>
      <c r="I1550" t="s">
        <v>133</v>
      </c>
      <c r="J1550" t="s">
        <v>133</v>
      </c>
      <c r="O1550" t="s">
        <v>161</v>
      </c>
      <c r="Q1550" t="s">
        <v>4597</v>
      </c>
      <c r="R1550" t="s">
        <v>1680</v>
      </c>
      <c r="S1550" t="s">
        <v>1658</v>
      </c>
      <c r="T1550" t="s">
        <v>487</v>
      </c>
    </row>
    <row r="1551" spans="1:20" x14ac:dyDescent="0.2">
      <c r="A1551" t="s">
        <v>4598</v>
      </c>
      <c r="B1551" t="s">
        <v>4599</v>
      </c>
      <c r="C1551" t="s">
        <v>4600</v>
      </c>
      <c r="D1551" t="s">
        <v>61</v>
      </c>
      <c r="E1551" t="s">
        <v>133</v>
      </c>
      <c r="H1551" t="s">
        <v>133</v>
      </c>
      <c r="I1551" t="s">
        <v>133</v>
      </c>
      <c r="J1551" t="s">
        <v>133</v>
      </c>
      <c r="K1551" t="s">
        <v>4601</v>
      </c>
      <c r="O1551" t="s">
        <v>150</v>
      </c>
    </row>
    <row r="1552" spans="1:20" x14ac:dyDescent="0.2">
      <c r="A1552" t="s">
        <v>4602</v>
      </c>
      <c r="B1552" t="s">
        <v>4603</v>
      </c>
      <c r="C1552" t="s">
        <v>4604</v>
      </c>
      <c r="D1552" t="s">
        <v>24</v>
      </c>
      <c r="E1552" t="s">
        <v>133</v>
      </c>
      <c r="H1552" t="s">
        <v>133</v>
      </c>
      <c r="I1552" t="s">
        <v>133</v>
      </c>
      <c r="J1552" t="s">
        <v>133</v>
      </c>
      <c r="O1552" t="s">
        <v>511</v>
      </c>
      <c r="Q1552" t="s">
        <v>4605</v>
      </c>
      <c r="R1552" t="s">
        <v>1680</v>
      </c>
      <c r="S1552" t="s">
        <v>1658</v>
      </c>
      <c r="T1552" t="s">
        <v>487</v>
      </c>
    </row>
    <row r="1553" spans="1:20" x14ac:dyDescent="0.2">
      <c r="A1553" t="s">
        <v>4606</v>
      </c>
      <c r="B1553" t="s">
        <v>4607</v>
      </c>
      <c r="C1553" t="s">
        <v>4608</v>
      </c>
      <c r="D1553" t="s">
        <v>24</v>
      </c>
      <c r="E1553" t="s">
        <v>133</v>
      </c>
      <c r="H1553" t="s">
        <v>133</v>
      </c>
      <c r="I1553" t="s">
        <v>133</v>
      </c>
      <c r="J1553" t="s">
        <v>133</v>
      </c>
      <c r="O1553" t="s">
        <v>511</v>
      </c>
      <c r="Q1553" t="s">
        <v>4609</v>
      </c>
      <c r="R1553" t="s">
        <v>1680</v>
      </c>
      <c r="S1553" t="s">
        <v>1658</v>
      </c>
      <c r="T1553" t="s">
        <v>487</v>
      </c>
    </row>
    <row r="1554" spans="1:20" x14ac:dyDescent="0.2">
      <c r="A1554" t="s">
        <v>4610</v>
      </c>
      <c r="B1554" t="s">
        <v>4611</v>
      </c>
      <c r="C1554" t="s">
        <v>4612</v>
      </c>
      <c r="D1554" t="s">
        <v>24</v>
      </c>
      <c r="E1554" t="s">
        <v>133</v>
      </c>
      <c r="H1554" t="s">
        <v>133</v>
      </c>
      <c r="I1554" t="s">
        <v>133</v>
      </c>
      <c r="J1554" t="s">
        <v>133</v>
      </c>
      <c r="O1554" t="s">
        <v>150</v>
      </c>
      <c r="Q1554" t="s">
        <v>4613</v>
      </c>
      <c r="R1554" t="s">
        <v>1680</v>
      </c>
      <c r="S1554" t="s">
        <v>1658</v>
      </c>
      <c r="T1554" t="s">
        <v>487</v>
      </c>
    </row>
    <row r="1555" spans="1:20" x14ac:dyDescent="0.2">
      <c r="A1555" t="s">
        <v>4614</v>
      </c>
      <c r="B1555" t="s">
        <v>4615</v>
      </c>
      <c r="C1555" t="s">
        <v>4616</v>
      </c>
      <c r="D1555" t="s">
        <v>61</v>
      </c>
      <c r="E1555" t="s">
        <v>133</v>
      </c>
      <c r="H1555" t="s">
        <v>133</v>
      </c>
      <c r="I1555" t="s">
        <v>133</v>
      </c>
      <c r="J1555" t="s">
        <v>133</v>
      </c>
      <c r="K1555" t="s">
        <v>4617</v>
      </c>
      <c r="O1555" t="s">
        <v>161</v>
      </c>
    </row>
    <row r="1556" spans="1:20" x14ac:dyDescent="0.2">
      <c r="A1556" t="s">
        <v>4618</v>
      </c>
      <c r="B1556" t="s">
        <v>4619</v>
      </c>
      <c r="C1556" t="s">
        <v>4620</v>
      </c>
      <c r="D1556" t="s">
        <v>24</v>
      </c>
      <c r="E1556" t="s">
        <v>133</v>
      </c>
      <c r="H1556" t="s">
        <v>133</v>
      </c>
      <c r="I1556" t="s">
        <v>133</v>
      </c>
      <c r="J1556" t="s">
        <v>133</v>
      </c>
      <c r="O1556" t="s">
        <v>161</v>
      </c>
      <c r="Q1556" t="s">
        <v>4621</v>
      </c>
      <c r="R1556" t="s">
        <v>1680</v>
      </c>
      <c r="S1556" t="s">
        <v>1658</v>
      </c>
      <c r="T1556" t="s">
        <v>487</v>
      </c>
    </row>
    <row r="1557" spans="1:20" x14ac:dyDescent="0.2">
      <c r="A1557" t="s">
        <v>4622</v>
      </c>
      <c r="B1557" t="s">
        <v>4623</v>
      </c>
      <c r="C1557" t="s">
        <v>4624</v>
      </c>
      <c r="D1557" t="s">
        <v>24</v>
      </c>
      <c r="E1557" t="s">
        <v>133</v>
      </c>
      <c r="H1557" t="s">
        <v>133</v>
      </c>
      <c r="I1557" t="s">
        <v>133</v>
      </c>
      <c r="J1557" t="s">
        <v>133</v>
      </c>
      <c r="O1557" t="s">
        <v>511</v>
      </c>
      <c r="Q1557" t="s">
        <v>4625</v>
      </c>
      <c r="R1557" t="s">
        <v>1680</v>
      </c>
      <c r="S1557" t="s">
        <v>1658</v>
      </c>
      <c r="T1557" t="s">
        <v>487</v>
      </c>
    </row>
    <row r="1558" spans="1:20" x14ac:dyDescent="0.2">
      <c r="A1558" t="s">
        <v>4626</v>
      </c>
      <c r="B1558" t="s">
        <v>4627</v>
      </c>
      <c r="C1558" t="s">
        <v>4628</v>
      </c>
      <c r="D1558" t="s">
        <v>61</v>
      </c>
      <c r="E1558" t="s">
        <v>133</v>
      </c>
      <c r="H1558" t="s">
        <v>133</v>
      </c>
      <c r="I1558" t="s">
        <v>133</v>
      </c>
      <c r="J1558" t="s">
        <v>133</v>
      </c>
      <c r="K1558" t="s">
        <v>4629</v>
      </c>
      <c r="O1558" t="s">
        <v>161</v>
      </c>
    </row>
    <row r="1559" spans="1:20" x14ac:dyDescent="0.2">
      <c r="A1559" t="s">
        <v>4630</v>
      </c>
      <c r="B1559" t="s">
        <v>4631</v>
      </c>
      <c r="C1559" t="s">
        <v>4632</v>
      </c>
      <c r="D1559" t="s">
        <v>61</v>
      </c>
      <c r="E1559" t="s">
        <v>133</v>
      </c>
      <c r="H1559" t="s">
        <v>133</v>
      </c>
      <c r="I1559" t="s">
        <v>133</v>
      </c>
      <c r="J1559" t="s">
        <v>133</v>
      </c>
      <c r="K1559" t="s">
        <v>4633</v>
      </c>
      <c r="O1559" t="s">
        <v>161</v>
      </c>
    </row>
    <row r="1560" spans="1:20" x14ac:dyDescent="0.2">
      <c r="A1560" t="s">
        <v>4634</v>
      </c>
      <c r="B1560" t="s">
        <v>4635</v>
      </c>
      <c r="C1560" t="s">
        <v>4636</v>
      </c>
      <c r="D1560" t="s">
        <v>61</v>
      </c>
      <c r="E1560" t="s">
        <v>133</v>
      </c>
      <c r="H1560" t="s">
        <v>133</v>
      </c>
      <c r="I1560" t="s">
        <v>133</v>
      </c>
      <c r="J1560" t="s">
        <v>133</v>
      </c>
      <c r="K1560" t="s">
        <v>4637</v>
      </c>
      <c r="O1560" t="s">
        <v>150</v>
      </c>
    </row>
    <row r="1561" spans="1:20" x14ac:dyDescent="0.2">
      <c r="A1561" t="s">
        <v>4638</v>
      </c>
      <c r="B1561" t="s">
        <v>4639</v>
      </c>
      <c r="C1561" t="s">
        <v>4640</v>
      </c>
      <c r="D1561" t="s">
        <v>24</v>
      </c>
      <c r="E1561" t="s">
        <v>133</v>
      </c>
      <c r="H1561" t="s">
        <v>133</v>
      </c>
      <c r="I1561" t="s">
        <v>133</v>
      </c>
      <c r="J1561" t="s">
        <v>133</v>
      </c>
      <c r="O1561" t="s">
        <v>161</v>
      </c>
      <c r="Q1561" t="s">
        <v>4641</v>
      </c>
      <c r="R1561" t="s">
        <v>1680</v>
      </c>
      <c r="S1561" t="s">
        <v>1658</v>
      </c>
      <c r="T1561" t="s">
        <v>487</v>
      </c>
    </row>
    <row r="1562" spans="1:20" x14ac:dyDescent="0.2">
      <c r="A1562" t="s">
        <v>4642</v>
      </c>
      <c r="B1562" t="s">
        <v>4643</v>
      </c>
      <c r="C1562" t="s">
        <v>4644</v>
      </c>
      <c r="D1562" t="s">
        <v>24</v>
      </c>
      <c r="E1562" t="s">
        <v>133</v>
      </c>
      <c r="H1562" t="s">
        <v>133</v>
      </c>
      <c r="I1562" t="s">
        <v>133</v>
      </c>
      <c r="J1562" t="s">
        <v>133</v>
      </c>
      <c r="O1562" t="s">
        <v>511</v>
      </c>
      <c r="Q1562" t="s">
        <v>4645</v>
      </c>
      <c r="R1562" t="s">
        <v>1680</v>
      </c>
      <c r="S1562" t="s">
        <v>1658</v>
      </c>
      <c r="T1562" t="s">
        <v>487</v>
      </c>
    </row>
    <row r="1563" spans="1:20" x14ac:dyDescent="0.2">
      <c r="A1563" t="s">
        <v>4646</v>
      </c>
      <c r="B1563" t="s">
        <v>4647</v>
      </c>
      <c r="C1563" t="s">
        <v>4648</v>
      </c>
      <c r="D1563" t="s">
        <v>61</v>
      </c>
      <c r="E1563" t="s">
        <v>133</v>
      </c>
      <c r="H1563" t="s">
        <v>133</v>
      </c>
      <c r="I1563" t="s">
        <v>133</v>
      </c>
      <c r="J1563" t="s">
        <v>133</v>
      </c>
      <c r="K1563" t="s">
        <v>4649</v>
      </c>
      <c r="O1563" t="s">
        <v>161</v>
      </c>
    </row>
    <row r="1564" spans="1:20" x14ac:dyDescent="0.2">
      <c r="A1564" t="s">
        <v>4650</v>
      </c>
      <c r="B1564" t="s">
        <v>4651</v>
      </c>
      <c r="C1564" t="s">
        <v>4652</v>
      </c>
      <c r="D1564" t="s">
        <v>24</v>
      </c>
      <c r="E1564" t="s">
        <v>133</v>
      </c>
      <c r="H1564" t="s">
        <v>133</v>
      </c>
      <c r="I1564" t="s">
        <v>133</v>
      </c>
      <c r="J1564" t="s">
        <v>133</v>
      </c>
      <c r="O1564" t="s">
        <v>161</v>
      </c>
      <c r="Q1564" t="s">
        <v>4653</v>
      </c>
      <c r="R1564" t="s">
        <v>1680</v>
      </c>
      <c r="S1564" t="s">
        <v>1658</v>
      </c>
      <c r="T1564" t="s">
        <v>487</v>
      </c>
    </row>
    <row r="1565" spans="1:20" x14ac:dyDescent="0.2">
      <c r="A1565" t="s">
        <v>4654</v>
      </c>
      <c r="B1565" t="s">
        <v>4655</v>
      </c>
      <c r="C1565" t="s">
        <v>4656</v>
      </c>
      <c r="D1565" t="s">
        <v>24</v>
      </c>
      <c r="E1565" t="s">
        <v>133</v>
      </c>
      <c r="H1565" t="s">
        <v>133</v>
      </c>
      <c r="I1565" t="s">
        <v>133</v>
      </c>
      <c r="J1565" t="s">
        <v>133</v>
      </c>
      <c r="O1565" t="s">
        <v>511</v>
      </c>
      <c r="Q1565" t="s">
        <v>4657</v>
      </c>
      <c r="R1565" t="s">
        <v>1680</v>
      </c>
      <c r="S1565" t="s">
        <v>1658</v>
      </c>
      <c r="T1565" t="s">
        <v>487</v>
      </c>
    </row>
    <row r="1566" spans="1:20" x14ac:dyDescent="0.2">
      <c r="A1566" t="s">
        <v>4658</v>
      </c>
      <c r="B1566" t="s">
        <v>4659</v>
      </c>
      <c r="C1566" t="s">
        <v>4660</v>
      </c>
      <c r="D1566" t="s">
        <v>61</v>
      </c>
      <c r="E1566" t="s">
        <v>133</v>
      </c>
      <c r="H1566" t="s">
        <v>133</v>
      </c>
      <c r="I1566" t="s">
        <v>133</v>
      </c>
      <c r="J1566" t="s">
        <v>133</v>
      </c>
      <c r="K1566" t="s">
        <v>4661</v>
      </c>
      <c r="O1566" t="s">
        <v>161</v>
      </c>
    </row>
    <row r="1567" spans="1:20" x14ac:dyDescent="0.2">
      <c r="A1567" t="s">
        <v>4662</v>
      </c>
      <c r="B1567" t="s">
        <v>4663</v>
      </c>
      <c r="C1567" t="s">
        <v>4664</v>
      </c>
      <c r="D1567" t="s">
        <v>61</v>
      </c>
      <c r="E1567" t="s">
        <v>133</v>
      </c>
      <c r="H1567" t="s">
        <v>133</v>
      </c>
      <c r="I1567" t="s">
        <v>133</v>
      </c>
      <c r="J1567" t="s">
        <v>133</v>
      </c>
      <c r="K1567" t="s">
        <v>4665</v>
      </c>
      <c r="O1567" t="s">
        <v>161</v>
      </c>
    </row>
    <row r="1568" spans="1:20" x14ac:dyDescent="0.2">
      <c r="A1568" t="s">
        <v>4666</v>
      </c>
      <c r="B1568" t="s">
        <v>4667</v>
      </c>
      <c r="C1568" t="s">
        <v>4668</v>
      </c>
      <c r="D1568" t="s">
        <v>61</v>
      </c>
      <c r="E1568" t="s">
        <v>133</v>
      </c>
      <c r="H1568" t="s">
        <v>133</v>
      </c>
      <c r="I1568" t="s">
        <v>133</v>
      </c>
      <c r="J1568" t="s">
        <v>133</v>
      </c>
      <c r="K1568" t="s">
        <v>4669</v>
      </c>
      <c r="O1568" t="s">
        <v>150</v>
      </c>
    </row>
    <row r="1569" spans="1:20" x14ac:dyDescent="0.2">
      <c r="A1569" t="s">
        <v>4670</v>
      </c>
      <c r="B1569" t="s">
        <v>4671</v>
      </c>
      <c r="C1569" t="s">
        <v>4672</v>
      </c>
      <c r="D1569" t="s">
        <v>24</v>
      </c>
      <c r="E1569" t="s">
        <v>133</v>
      </c>
      <c r="H1569" t="s">
        <v>133</v>
      </c>
      <c r="I1569" t="s">
        <v>133</v>
      </c>
      <c r="J1569" t="s">
        <v>133</v>
      </c>
      <c r="O1569" t="s">
        <v>161</v>
      </c>
      <c r="Q1569" t="s">
        <v>4673</v>
      </c>
      <c r="R1569" t="s">
        <v>1680</v>
      </c>
      <c r="S1569" t="s">
        <v>1658</v>
      </c>
      <c r="T1569" t="s">
        <v>487</v>
      </c>
    </row>
    <row r="1570" spans="1:20" x14ac:dyDescent="0.2">
      <c r="A1570" t="s">
        <v>4674</v>
      </c>
      <c r="B1570" t="s">
        <v>4675</v>
      </c>
      <c r="C1570" t="s">
        <v>4676</v>
      </c>
      <c r="D1570" t="s">
        <v>24</v>
      </c>
      <c r="E1570" t="s">
        <v>133</v>
      </c>
      <c r="H1570" t="s">
        <v>133</v>
      </c>
      <c r="I1570" t="s">
        <v>133</v>
      </c>
      <c r="J1570" t="s">
        <v>133</v>
      </c>
      <c r="O1570" t="s">
        <v>511</v>
      </c>
      <c r="Q1570" t="s">
        <v>4677</v>
      </c>
      <c r="R1570" t="s">
        <v>1680</v>
      </c>
      <c r="S1570" t="s">
        <v>1658</v>
      </c>
      <c r="T1570" t="s">
        <v>487</v>
      </c>
    </row>
    <row r="1571" spans="1:20" x14ac:dyDescent="0.2">
      <c r="A1571" t="s">
        <v>4678</v>
      </c>
      <c r="B1571" t="s">
        <v>4679</v>
      </c>
      <c r="C1571" t="s">
        <v>4680</v>
      </c>
      <c r="D1571" t="s">
        <v>61</v>
      </c>
      <c r="E1571" t="s">
        <v>133</v>
      </c>
      <c r="H1571" t="s">
        <v>133</v>
      </c>
      <c r="I1571" t="s">
        <v>133</v>
      </c>
      <c r="J1571" t="s">
        <v>133</v>
      </c>
      <c r="K1571" t="s">
        <v>4681</v>
      </c>
      <c r="O1571" t="s">
        <v>161</v>
      </c>
    </row>
    <row r="1572" spans="1:20" x14ac:dyDescent="0.2">
      <c r="A1572" t="s">
        <v>4682</v>
      </c>
      <c r="B1572" t="s">
        <v>4683</v>
      </c>
      <c r="C1572" t="s">
        <v>4684</v>
      </c>
      <c r="D1572" t="s">
        <v>24</v>
      </c>
      <c r="E1572" t="s">
        <v>133</v>
      </c>
      <c r="H1572" t="s">
        <v>133</v>
      </c>
      <c r="I1572" t="s">
        <v>133</v>
      </c>
      <c r="J1572" t="s">
        <v>133</v>
      </c>
      <c r="O1572" t="s">
        <v>161</v>
      </c>
      <c r="Q1572" t="s">
        <v>4685</v>
      </c>
      <c r="R1572" t="s">
        <v>1680</v>
      </c>
      <c r="S1572" t="s">
        <v>1658</v>
      </c>
      <c r="T1572" t="s">
        <v>487</v>
      </c>
    </row>
    <row r="1573" spans="1:20" x14ac:dyDescent="0.2">
      <c r="A1573" t="s">
        <v>4686</v>
      </c>
      <c r="B1573" t="s">
        <v>4687</v>
      </c>
      <c r="C1573" t="s">
        <v>4688</v>
      </c>
      <c r="D1573" t="s">
        <v>24</v>
      </c>
      <c r="E1573" t="s">
        <v>133</v>
      </c>
      <c r="H1573" t="s">
        <v>133</v>
      </c>
      <c r="I1573" t="s">
        <v>133</v>
      </c>
      <c r="J1573" t="s">
        <v>133</v>
      </c>
      <c r="O1573" t="s">
        <v>511</v>
      </c>
      <c r="Q1573" t="s">
        <v>4689</v>
      </c>
      <c r="R1573" t="s">
        <v>1680</v>
      </c>
      <c r="S1573" t="s">
        <v>1658</v>
      </c>
      <c r="T1573" t="s">
        <v>487</v>
      </c>
    </row>
    <row r="1574" spans="1:20" x14ac:dyDescent="0.2">
      <c r="A1574" t="s">
        <v>4690</v>
      </c>
      <c r="B1574" t="s">
        <v>4691</v>
      </c>
      <c r="C1574" t="s">
        <v>4692</v>
      </c>
      <c r="D1574" t="s">
        <v>61</v>
      </c>
      <c r="E1574" t="s">
        <v>133</v>
      </c>
      <c r="H1574" t="s">
        <v>133</v>
      </c>
      <c r="I1574" t="s">
        <v>133</v>
      </c>
      <c r="J1574" t="s">
        <v>133</v>
      </c>
      <c r="K1574" t="s">
        <v>4693</v>
      </c>
      <c r="O1574" t="s">
        <v>161</v>
      </c>
    </row>
    <row r="1575" spans="1:20" x14ac:dyDescent="0.2">
      <c r="A1575" t="s">
        <v>4694</v>
      </c>
      <c r="B1575" t="s">
        <v>4695</v>
      </c>
      <c r="C1575" t="s">
        <v>4696</v>
      </c>
      <c r="D1575" t="s">
        <v>61</v>
      </c>
      <c r="E1575" t="s">
        <v>133</v>
      </c>
      <c r="H1575" t="s">
        <v>133</v>
      </c>
      <c r="I1575" t="s">
        <v>133</v>
      </c>
      <c r="J1575" t="s">
        <v>133</v>
      </c>
      <c r="K1575" t="s">
        <v>4697</v>
      </c>
      <c r="O1575" t="s">
        <v>161</v>
      </c>
    </row>
    <row r="1576" spans="1:20" x14ac:dyDescent="0.2">
      <c r="A1576" t="s">
        <v>4698</v>
      </c>
      <c r="B1576" t="s">
        <v>4699</v>
      </c>
      <c r="C1576" t="s">
        <v>4700</v>
      </c>
      <c r="D1576" t="s">
        <v>61</v>
      </c>
      <c r="E1576" t="s">
        <v>133</v>
      </c>
      <c r="H1576" t="s">
        <v>133</v>
      </c>
      <c r="I1576" t="s">
        <v>133</v>
      </c>
      <c r="J1576" t="s">
        <v>133</v>
      </c>
      <c r="K1576" t="s">
        <v>4701</v>
      </c>
      <c r="O1576" t="s">
        <v>161</v>
      </c>
    </row>
    <row r="1577" spans="1:20" x14ac:dyDescent="0.2">
      <c r="A1577" t="s">
        <v>4702</v>
      </c>
      <c r="B1577" t="s">
        <v>4703</v>
      </c>
      <c r="C1577" t="s">
        <v>4704</v>
      </c>
      <c r="D1577" t="s">
        <v>61</v>
      </c>
      <c r="E1577" t="s">
        <v>133</v>
      </c>
      <c r="H1577" t="s">
        <v>133</v>
      </c>
      <c r="I1577" t="s">
        <v>133</v>
      </c>
      <c r="J1577" t="s">
        <v>133</v>
      </c>
      <c r="K1577" t="s">
        <v>4705</v>
      </c>
      <c r="O1577" t="s">
        <v>150</v>
      </c>
    </row>
    <row r="1578" spans="1:20" x14ac:dyDescent="0.2">
      <c r="A1578" t="s">
        <v>4706</v>
      </c>
      <c r="B1578" t="s">
        <v>4707</v>
      </c>
      <c r="C1578" t="s">
        <v>4708</v>
      </c>
      <c r="D1578" t="s">
        <v>24</v>
      </c>
      <c r="E1578" t="s">
        <v>133</v>
      </c>
      <c r="H1578" t="s">
        <v>133</v>
      </c>
      <c r="I1578" t="s">
        <v>133</v>
      </c>
      <c r="J1578" t="s">
        <v>133</v>
      </c>
      <c r="O1578" t="s">
        <v>161</v>
      </c>
      <c r="Q1578" t="s">
        <v>4709</v>
      </c>
      <c r="R1578" t="s">
        <v>1680</v>
      </c>
      <c r="S1578" t="s">
        <v>1658</v>
      </c>
      <c r="T1578" t="s">
        <v>487</v>
      </c>
    </row>
    <row r="1579" spans="1:20" x14ac:dyDescent="0.2">
      <c r="A1579" t="s">
        <v>4710</v>
      </c>
      <c r="B1579" t="s">
        <v>4711</v>
      </c>
      <c r="C1579" t="s">
        <v>4712</v>
      </c>
      <c r="D1579" t="s">
        <v>61</v>
      </c>
      <c r="E1579" t="s">
        <v>133</v>
      </c>
      <c r="H1579" t="s">
        <v>133</v>
      </c>
      <c r="I1579" t="s">
        <v>133</v>
      </c>
      <c r="J1579" t="s">
        <v>133</v>
      </c>
      <c r="K1579" t="s">
        <v>4713</v>
      </c>
      <c r="O1579" t="s">
        <v>511</v>
      </c>
    </row>
    <row r="1580" spans="1:20" x14ac:dyDescent="0.2">
      <c r="A1580" t="s">
        <v>4714</v>
      </c>
      <c r="B1580" t="s">
        <v>4715</v>
      </c>
      <c r="C1580" t="s">
        <v>4716</v>
      </c>
      <c r="D1580" t="s">
        <v>24</v>
      </c>
      <c r="E1580" t="s">
        <v>133</v>
      </c>
      <c r="H1580" t="s">
        <v>133</v>
      </c>
      <c r="I1580" t="s">
        <v>133</v>
      </c>
      <c r="J1580" t="s">
        <v>133</v>
      </c>
      <c r="O1580" t="s">
        <v>511</v>
      </c>
      <c r="Q1580" t="s">
        <v>4717</v>
      </c>
      <c r="R1580" t="s">
        <v>1680</v>
      </c>
      <c r="S1580" t="s">
        <v>1658</v>
      </c>
      <c r="T1580" t="s">
        <v>487</v>
      </c>
    </row>
    <row r="1581" spans="1:20" x14ac:dyDescent="0.2">
      <c r="A1581" t="s">
        <v>4718</v>
      </c>
      <c r="B1581" t="s">
        <v>4719</v>
      </c>
      <c r="C1581" t="s">
        <v>4720</v>
      </c>
      <c r="D1581" t="s">
        <v>61</v>
      </c>
      <c r="E1581" t="s">
        <v>133</v>
      </c>
      <c r="H1581" t="s">
        <v>133</v>
      </c>
      <c r="I1581" t="s">
        <v>133</v>
      </c>
      <c r="J1581" t="s">
        <v>133</v>
      </c>
      <c r="K1581" t="s">
        <v>4721</v>
      </c>
      <c r="O1581" t="s">
        <v>161</v>
      </c>
    </row>
    <row r="1582" spans="1:20" x14ac:dyDescent="0.2">
      <c r="A1582" t="s">
        <v>4722</v>
      </c>
      <c r="B1582" t="s">
        <v>4723</v>
      </c>
      <c r="C1582" t="s">
        <v>4724</v>
      </c>
      <c r="D1582" t="s">
        <v>24</v>
      </c>
      <c r="E1582" t="s">
        <v>133</v>
      </c>
      <c r="H1582" t="s">
        <v>133</v>
      </c>
      <c r="I1582" t="s">
        <v>133</v>
      </c>
      <c r="J1582" t="s">
        <v>133</v>
      </c>
      <c r="O1582" t="s">
        <v>161</v>
      </c>
      <c r="Q1582" t="s">
        <v>4725</v>
      </c>
      <c r="R1582" t="s">
        <v>1680</v>
      </c>
      <c r="S1582" t="s">
        <v>1658</v>
      </c>
      <c r="T1582" t="s">
        <v>487</v>
      </c>
    </row>
    <row r="1583" spans="1:20" x14ac:dyDescent="0.2">
      <c r="A1583" t="s">
        <v>4726</v>
      </c>
      <c r="B1583" t="s">
        <v>4727</v>
      </c>
      <c r="C1583" t="s">
        <v>4728</v>
      </c>
      <c r="D1583" t="s">
        <v>24</v>
      </c>
      <c r="E1583" t="s">
        <v>133</v>
      </c>
      <c r="H1583" t="s">
        <v>133</v>
      </c>
      <c r="I1583" t="s">
        <v>133</v>
      </c>
      <c r="J1583" t="s">
        <v>133</v>
      </c>
      <c r="O1583" t="s">
        <v>511</v>
      </c>
      <c r="Q1583" t="s">
        <v>4729</v>
      </c>
      <c r="R1583" t="s">
        <v>1680</v>
      </c>
      <c r="S1583" t="s">
        <v>1658</v>
      </c>
      <c r="T1583" t="s">
        <v>487</v>
      </c>
    </row>
    <row r="1584" spans="1:20" x14ac:dyDescent="0.2">
      <c r="A1584" t="s">
        <v>4730</v>
      </c>
      <c r="B1584" t="s">
        <v>4731</v>
      </c>
      <c r="C1584" t="s">
        <v>4732</v>
      </c>
      <c r="D1584" t="s">
        <v>61</v>
      </c>
      <c r="E1584" t="s">
        <v>133</v>
      </c>
      <c r="H1584" t="s">
        <v>133</v>
      </c>
      <c r="I1584" t="s">
        <v>133</v>
      </c>
      <c r="J1584" t="s">
        <v>133</v>
      </c>
      <c r="K1584" t="s">
        <v>4733</v>
      </c>
      <c r="O1584" t="s">
        <v>161</v>
      </c>
    </row>
    <row r="1585" spans="1:20" x14ac:dyDescent="0.2">
      <c r="A1585" t="s">
        <v>4734</v>
      </c>
      <c r="B1585" t="s">
        <v>4735</v>
      </c>
      <c r="C1585" t="s">
        <v>4736</v>
      </c>
      <c r="D1585" t="s">
        <v>61</v>
      </c>
      <c r="E1585" t="s">
        <v>133</v>
      </c>
      <c r="H1585" t="s">
        <v>133</v>
      </c>
      <c r="I1585" t="s">
        <v>133</v>
      </c>
      <c r="J1585" t="s">
        <v>133</v>
      </c>
      <c r="K1585" t="s">
        <v>4737</v>
      </c>
      <c r="O1585" t="s">
        <v>161</v>
      </c>
    </row>
    <row r="1586" spans="1:20" x14ac:dyDescent="0.2">
      <c r="A1586" t="s">
        <v>4738</v>
      </c>
      <c r="B1586" t="s">
        <v>4739</v>
      </c>
      <c r="C1586" t="s">
        <v>4740</v>
      </c>
      <c r="D1586" t="s">
        <v>61</v>
      </c>
      <c r="E1586" t="s">
        <v>133</v>
      </c>
      <c r="H1586" t="s">
        <v>133</v>
      </c>
      <c r="I1586" t="s">
        <v>133</v>
      </c>
      <c r="J1586" t="s">
        <v>133</v>
      </c>
      <c r="K1586" t="s">
        <v>4741</v>
      </c>
      <c r="O1586" t="s">
        <v>150</v>
      </c>
    </row>
    <row r="1587" spans="1:20" x14ac:dyDescent="0.2">
      <c r="A1587" t="s">
        <v>4742</v>
      </c>
      <c r="B1587" t="s">
        <v>4743</v>
      </c>
      <c r="C1587" t="s">
        <v>4744</v>
      </c>
      <c r="D1587" t="s">
        <v>24</v>
      </c>
      <c r="E1587" t="s">
        <v>133</v>
      </c>
      <c r="H1587" t="s">
        <v>133</v>
      </c>
      <c r="I1587" t="s">
        <v>133</v>
      </c>
      <c r="J1587" t="s">
        <v>133</v>
      </c>
      <c r="O1587" t="s">
        <v>161</v>
      </c>
      <c r="Q1587" t="s">
        <v>4745</v>
      </c>
      <c r="R1587" t="s">
        <v>1680</v>
      </c>
      <c r="S1587" t="s">
        <v>1658</v>
      </c>
      <c r="T1587" t="s">
        <v>487</v>
      </c>
    </row>
    <row r="1588" spans="1:20" x14ac:dyDescent="0.2">
      <c r="A1588" t="s">
        <v>4746</v>
      </c>
      <c r="B1588" t="s">
        <v>4747</v>
      </c>
      <c r="C1588" t="s">
        <v>4748</v>
      </c>
      <c r="D1588" t="s">
        <v>24</v>
      </c>
      <c r="E1588" t="s">
        <v>133</v>
      </c>
      <c r="H1588" t="s">
        <v>133</v>
      </c>
      <c r="I1588" t="s">
        <v>133</v>
      </c>
      <c r="J1588" t="s">
        <v>133</v>
      </c>
      <c r="O1588" t="s">
        <v>511</v>
      </c>
      <c r="Q1588" t="s">
        <v>4749</v>
      </c>
      <c r="R1588" t="s">
        <v>1680</v>
      </c>
      <c r="S1588" t="s">
        <v>1658</v>
      </c>
      <c r="T1588" t="s">
        <v>487</v>
      </c>
    </row>
    <row r="1589" spans="1:20" x14ac:dyDescent="0.2">
      <c r="A1589" t="s">
        <v>4750</v>
      </c>
      <c r="B1589" t="s">
        <v>4751</v>
      </c>
      <c r="C1589" t="s">
        <v>4752</v>
      </c>
      <c r="D1589" t="s">
        <v>61</v>
      </c>
      <c r="E1589" t="s">
        <v>133</v>
      </c>
      <c r="H1589" t="s">
        <v>133</v>
      </c>
      <c r="I1589" t="s">
        <v>133</v>
      </c>
      <c r="J1589" t="s">
        <v>133</v>
      </c>
      <c r="K1589" t="s">
        <v>4753</v>
      </c>
      <c r="O1589" t="s">
        <v>161</v>
      </c>
    </row>
    <row r="1590" spans="1:20" x14ac:dyDescent="0.2">
      <c r="A1590" t="s">
        <v>4754</v>
      </c>
      <c r="B1590" t="s">
        <v>4755</v>
      </c>
      <c r="C1590" t="s">
        <v>4756</v>
      </c>
      <c r="D1590" t="s">
        <v>24</v>
      </c>
      <c r="E1590" t="s">
        <v>133</v>
      </c>
      <c r="H1590" t="s">
        <v>133</v>
      </c>
      <c r="I1590" t="s">
        <v>133</v>
      </c>
      <c r="J1590" t="s">
        <v>133</v>
      </c>
      <c r="O1590" t="s">
        <v>161</v>
      </c>
      <c r="Q1590" t="s">
        <v>4757</v>
      </c>
      <c r="R1590" t="s">
        <v>1680</v>
      </c>
      <c r="S1590" t="s">
        <v>1658</v>
      </c>
      <c r="T1590" t="s">
        <v>487</v>
      </c>
    </row>
    <row r="1591" spans="1:20" x14ac:dyDescent="0.2">
      <c r="A1591" t="s">
        <v>4758</v>
      </c>
      <c r="B1591" t="s">
        <v>4759</v>
      </c>
      <c r="C1591" t="s">
        <v>4760</v>
      </c>
      <c r="D1591" t="s">
        <v>24</v>
      </c>
      <c r="E1591" t="s">
        <v>133</v>
      </c>
      <c r="H1591" t="s">
        <v>133</v>
      </c>
      <c r="I1591" t="s">
        <v>133</v>
      </c>
      <c r="J1591" t="s">
        <v>133</v>
      </c>
      <c r="O1591" t="s">
        <v>511</v>
      </c>
      <c r="Q1591" t="s">
        <v>4761</v>
      </c>
      <c r="R1591" t="s">
        <v>1680</v>
      </c>
      <c r="S1591" t="s">
        <v>1658</v>
      </c>
      <c r="T1591" t="s">
        <v>487</v>
      </c>
    </row>
    <row r="1592" spans="1:20" x14ac:dyDescent="0.2">
      <c r="A1592" t="s">
        <v>4762</v>
      </c>
      <c r="B1592" t="s">
        <v>4763</v>
      </c>
      <c r="C1592" t="s">
        <v>4764</v>
      </c>
      <c r="D1592" t="s">
        <v>61</v>
      </c>
      <c r="E1592" t="s">
        <v>133</v>
      </c>
      <c r="H1592" t="s">
        <v>133</v>
      </c>
      <c r="I1592" t="s">
        <v>133</v>
      </c>
      <c r="J1592" t="s">
        <v>133</v>
      </c>
      <c r="K1592" t="s">
        <v>4765</v>
      </c>
      <c r="O1592" t="s">
        <v>161</v>
      </c>
    </row>
    <row r="1593" spans="1:20" x14ac:dyDescent="0.2">
      <c r="A1593" t="s">
        <v>4766</v>
      </c>
      <c r="B1593" t="s">
        <v>4767</v>
      </c>
      <c r="C1593" t="s">
        <v>4768</v>
      </c>
      <c r="D1593" t="s">
        <v>61</v>
      </c>
      <c r="E1593" t="s">
        <v>133</v>
      </c>
      <c r="H1593" t="s">
        <v>133</v>
      </c>
      <c r="I1593" t="s">
        <v>133</v>
      </c>
      <c r="J1593" t="s">
        <v>133</v>
      </c>
      <c r="K1593" t="s">
        <v>4769</v>
      </c>
      <c r="O1593" t="s">
        <v>161</v>
      </c>
    </row>
    <row r="1594" spans="1:20" x14ac:dyDescent="0.2">
      <c r="A1594" t="s">
        <v>4770</v>
      </c>
      <c r="B1594" t="s">
        <v>4771</v>
      </c>
      <c r="C1594" t="s">
        <v>4772</v>
      </c>
      <c r="D1594" t="s">
        <v>61</v>
      </c>
      <c r="E1594" t="s">
        <v>133</v>
      </c>
      <c r="H1594" t="s">
        <v>133</v>
      </c>
      <c r="I1594" t="s">
        <v>133</v>
      </c>
      <c r="J1594" t="s">
        <v>133</v>
      </c>
      <c r="K1594" t="s">
        <v>4773</v>
      </c>
      <c r="O1594" t="s">
        <v>150</v>
      </c>
    </row>
    <row r="1595" spans="1:20" x14ac:dyDescent="0.2">
      <c r="A1595" t="s">
        <v>4774</v>
      </c>
      <c r="B1595" t="s">
        <v>4775</v>
      </c>
      <c r="C1595" t="s">
        <v>4776</v>
      </c>
      <c r="D1595" t="s">
        <v>24</v>
      </c>
      <c r="E1595" t="s">
        <v>133</v>
      </c>
      <c r="H1595" t="s">
        <v>133</v>
      </c>
      <c r="I1595" t="s">
        <v>133</v>
      </c>
      <c r="J1595" t="s">
        <v>133</v>
      </c>
      <c r="O1595" t="s">
        <v>161</v>
      </c>
      <c r="Q1595" t="s">
        <v>4777</v>
      </c>
      <c r="R1595" t="s">
        <v>1680</v>
      </c>
      <c r="S1595" t="s">
        <v>1658</v>
      </c>
      <c r="T1595" t="s">
        <v>487</v>
      </c>
    </row>
    <row r="1596" spans="1:20" x14ac:dyDescent="0.2">
      <c r="A1596" t="s">
        <v>4778</v>
      </c>
      <c r="B1596" t="s">
        <v>4779</v>
      </c>
      <c r="C1596" t="s">
        <v>4780</v>
      </c>
      <c r="D1596" t="s">
        <v>24</v>
      </c>
      <c r="E1596" t="s">
        <v>133</v>
      </c>
      <c r="H1596" t="s">
        <v>133</v>
      </c>
      <c r="I1596" t="s">
        <v>133</v>
      </c>
      <c r="J1596" t="s">
        <v>133</v>
      </c>
      <c r="O1596" t="s">
        <v>511</v>
      </c>
      <c r="Q1596" t="s">
        <v>4781</v>
      </c>
      <c r="R1596" t="s">
        <v>1680</v>
      </c>
      <c r="S1596" t="s">
        <v>1658</v>
      </c>
      <c r="T1596" t="s">
        <v>487</v>
      </c>
    </row>
    <row r="1597" spans="1:20" x14ac:dyDescent="0.2">
      <c r="A1597" t="s">
        <v>4782</v>
      </c>
      <c r="B1597" t="s">
        <v>4783</v>
      </c>
      <c r="C1597" t="s">
        <v>4784</v>
      </c>
      <c r="D1597" t="s">
        <v>61</v>
      </c>
      <c r="E1597" t="s">
        <v>133</v>
      </c>
      <c r="H1597" t="s">
        <v>133</v>
      </c>
      <c r="I1597" t="s">
        <v>133</v>
      </c>
      <c r="J1597" t="s">
        <v>133</v>
      </c>
      <c r="K1597" t="s">
        <v>4785</v>
      </c>
      <c r="O1597" t="s">
        <v>161</v>
      </c>
    </row>
    <row r="1598" spans="1:20" x14ac:dyDescent="0.2">
      <c r="A1598" t="s">
        <v>4786</v>
      </c>
      <c r="B1598" t="s">
        <v>4787</v>
      </c>
      <c r="C1598" t="s">
        <v>4788</v>
      </c>
      <c r="D1598" t="s">
        <v>24</v>
      </c>
      <c r="E1598" t="s">
        <v>133</v>
      </c>
      <c r="H1598" t="s">
        <v>133</v>
      </c>
      <c r="I1598" t="s">
        <v>133</v>
      </c>
      <c r="J1598" t="s">
        <v>133</v>
      </c>
      <c r="O1598" t="s">
        <v>161</v>
      </c>
      <c r="Q1598" t="s">
        <v>4789</v>
      </c>
      <c r="R1598" t="s">
        <v>1680</v>
      </c>
      <c r="S1598" t="s">
        <v>1658</v>
      </c>
      <c r="T1598" t="s">
        <v>487</v>
      </c>
    </row>
    <row r="1599" spans="1:20" x14ac:dyDescent="0.2">
      <c r="A1599" t="s">
        <v>4790</v>
      </c>
      <c r="B1599" t="s">
        <v>4791</v>
      </c>
      <c r="C1599" t="s">
        <v>4792</v>
      </c>
      <c r="D1599" t="s">
        <v>24</v>
      </c>
      <c r="E1599" t="s">
        <v>133</v>
      </c>
      <c r="H1599" t="s">
        <v>133</v>
      </c>
      <c r="I1599" t="s">
        <v>133</v>
      </c>
      <c r="J1599" t="s">
        <v>133</v>
      </c>
      <c r="O1599" t="s">
        <v>511</v>
      </c>
      <c r="Q1599" t="s">
        <v>4793</v>
      </c>
      <c r="R1599" t="s">
        <v>1680</v>
      </c>
      <c r="S1599" t="s">
        <v>1658</v>
      </c>
      <c r="T1599" t="s">
        <v>487</v>
      </c>
    </row>
    <row r="1600" spans="1:20" x14ac:dyDescent="0.2">
      <c r="A1600" t="s">
        <v>2718</v>
      </c>
      <c r="B1600" t="s">
        <v>2719</v>
      </c>
      <c r="C1600" t="s">
        <v>2720</v>
      </c>
      <c r="D1600" t="s">
        <v>24</v>
      </c>
      <c r="E1600" t="s">
        <v>133</v>
      </c>
      <c r="H1600" t="s">
        <v>133</v>
      </c>
      <c r="I1600" t="s">
        <v>133</v>
      </c>
      <c r="J1600" t="s">
        <v>133</v>
      </c>
      <c r="O1600" t="s">
        <v>161</v>
      </c>
      <c r="R1600" t="s">
        <v>1680</v>
      </c>
      <c r="S1600" t="s">
        <v>1658</v>
      </c>
      <c r="T1600" t="s">
        <v>487</v>
      </c>
    </row>
    <row r="1601" spans="1:20" x14ac:dyDescent="0.2">
      <c r="A1601" t="s">
        <v>4794</v>
      </c>
      <c r="B1601" t="s">
        <v>4795</v>
      </c>
      <c r="C1601" t="s">
        <v>4796</v>
      </c>
      <c r="D1601" t="s">
        <v>24</v>
      </c>
      <c r="E1601" t="s">
        <v>133</v>
      </c>
      <c r="H1601" t="s">
        <v>133</v>
      </c>
      <c r="I1601" t="s">
        <v>133</v>
      </c>
      <c r="J1601" t="s">
        <v>133</v>
      </c>
      <c r="O1601" t="s">
        <v>161</v>
      </c>
      <c r="R1601" t="s">
        <v>1680</v>
      </c>
      <c r="S1601" t="s">
        <v>1658</v>
      </c>
      <c r="T1601" t="s">
        <v>487</v>
      </c>
    </row>
    <row r="1602" spans="1:20" x14ac:dyDescent="0.2">
      <c r="A1602" t="s">
        <v>4797</v>
      </c>
      <c r="B1602" t="s">
        <v>4798</v>
      </c>
      <c r="C1602" t="s">
        <v>4799</v>
      </c>
      <c r="D1602" t="s">
        <v>24</v>
      </c>
      <c r="E1602" t="s">
        <v>133</v>
      </c>
      <c r="H1602" t="s">
        <v>133</v>
      </c>
      <c r="I1602" t="s">
        <v>133</v>
      </c>
      <c r="O1602" t="s">
        <v>161</v>
      </c>
      <c r="R1602" t="s">
        <v>1680</v>
      </c>
      <c r="S1602" t="s">
        <v>1658</v>
      </c>
      <c r="T1602" t="s">
        <v>487</v>
      </c>
    </row>
    <row r="1603" spans="1:20" x14ac:dyDescent="0.2">
      <c r="A1603" t="s">
        <v>4800</v>
      </c>
      <c r="B1603" t="s">
        <v>4801</v>
      </c>
      <c r="C1603" t="s">
        <v>4802</v>
      </c>
      <c r="D1603" t="s">
        <v>24</v>
      </c>
      <c r="E1603" t="s">
        <v>505</v>
      </c>
      <c r="F1603" t="s">
        <v>133</v>
      </c>
      <c r="G1603" t="s">
        <v>133</v>
      </c>
      <c r="H1603" t="s">
        <v>133</v>
      </c>
      <c r="I1603" t="s">
        <v>133</v>
      </c>
      <c r="O1603" t="s">
        <v>511</v>
      </c>
      <c r="R1603" t="s">
        <v>1680</v>
      </c>
      <c r="S1603" t="s">
        <v>1658</v>
      </c>
      <c r="T1603" t="s">
        <v>487</v>
      </c>
    </row>
    <row r="1604" spans="1:20" x14ac:dyDescent="0.2">
      <c r="A1604" t="s">
        <v>4800</v>
      </c>
      <c r="B1604" t="s">
        <v>4801</v>
      </c>
      <c r="C1604" t="s">
        <v>4802</v>
      </c>
      <c r="D1604" t="s">
        <v>61</v>
      </c>
      <c r="E1604" t="s">
        <v>255</v>
      </c>
      <c r="F1604" t="s">
        <v>133</v>
      </c>
      <c r="G1604" t="s">
        <v>133</v>
      </c>
      <c r="H1604" t="s">
        <v>133</v>
      </c>
      <c r="I1604" t="s">
        <v>133</v>
      </c>
      <c r="K1604" t="s">
        <v>4803</v>
      </c>
      <c r="O1604" t="s">
        <v>511</v>
      </c>
    </row>
    <row r="1605" spans="1:20" x14ac:dyDescent="0.2">
      <c r="A1605" t="s">
        <v>4804</v>
      </c>
      <c r="B1605" t="s">
        <v>4805</v>
      </c>
      <c r="C1605" t="s">
        <v>4806</v>
      </c>
      <c r="D1605" t="s">
        <v>61</v>
      </c>
      <c r="E1605" t="s">
        <v>133</v>
      </c>
      <c r="K1605" t="s">
        <v>4807</v>
      </c>
      <c r="L1605" t="s">
        <v>160</v>
      </c>
      <c r="O1605" t="s">
        <v>161</v>
      </c>
    </row>
    <row r="1606" spans="1:20" x14ac:dyDescent="0.2">
      <c r="A1606" t="s">
        <v>4808</v>
      </c>
      <c r="B1606" t="s">
        <v>4809</v>
      </c>
      <c r="C1606" t="s">
        <v>4810</v>
      </c>
      <c r="D1606" t="s">
        <v>61</v>
      </c>
      <c r="E1606" t="s">
        <v>133</v>
      </c>
      <c r="F1606" t="s">
        <v>133</v>
      </c>
      <c r="G1606" t="s">
        <v>133</v>
      </c>
      <c r="H1606" t="s">
        <v>1679</v>
      </c>
      <c r="I1606" t="s">
        <v>133</v>
      </c>
      <c r="K1606" t="s">
        <v>410</v>
      </c>
      <c r="O1606" t="s">
        <v>161</v>
      </c>
    </row>
    <row r="1607" spans="1:20" x14ac:dyDescent="0.2">
      <c r="A1607" t="s">
        <v>4811</v>
      </c>
      <c r="B1607" t="s">
        <v>4812</v>
      </c>
      <c r="C1607" t="s">
        <v>4813</v>
      </c>
      <c r="D1607" t="s">
        <v>61</v>
      </c>
      <c r="E1607" t="s">
        <v>133</v>
      </c>
      <c r="F1607" t="s">
        <v>133</v>
      </c>
      <c r="G1607" t="s">
        <v>133</v>
      </c>
      <c r="H1607" t="s">
        <v>133</v>
      </c>
      <c r="I1607" t="s">
        <v>133</v>
      </c>
      <c r="K1607" t="s">
        <v>4814</v>
      </c>
      <c r="O1607" t="s">
        <v>161</v>
      </c>
    </row>
    <row r="1608" spans="1:20" x14ac:dyDescent="0.2">
      <c r="A1608" t="s">
        <v>4815</v>
      </c>
      <c r="B1608" t="s">
        <v>4816</v>
      </c>
      <c r="C1608" t="s">
        <v>4817</v>
      </c>
      <c r="D1608" t="s">
        <v>24</v>
      </c>
      <c r="E1608" t="s">
        <v>505</v>
      </c>
      <c r="F1608" t="s">
        <v>133</v>
      </c>
      <c r="G1608" t="s">
        <v>133</v>
      </c>
      <c r="H1608" t="s">
        <v>4818</v>
      </c>
      <c r="I1608" t="s">
        <v>133</v>
      </c>
      <c r="O1608" t="s">
        <v>511</v>
      </c>
      <c r="Q1608" t="s">
        <v>4819</v>
      </c>
      <c r="R1608" t="s">
        <v>1682</v>
      </c>
      <c r="S1608" t="s">
        <v>1683</v>
      </c>
      <c r="T1608" t="s">
        <v>487</v>
      </c>
    </row>
    <row r="1609" spans="1:20" x14ac:dyDescent="0.2">
      <c r="A1609" t="s">
        <v>4815</v>
      </c>
      <c r="B1609" t="s">
        <v>4816</v>
      </c>
      <c r="C1609" t="s">
        <v>4817</v>
      </c>
      <c r="D1609" t="s">
        <v>24</v>
      </c>
      <c r="E1609" t="s">
        <v>505</v>
      </c>
      <c r="F1609" t="s">
        <v>133</v>
      </c>
      <c r="G1609" t="s">
        <v>133</v>
      </c>
      <c r="H1609" t="s">
        <v>1684</v>
      </c>
      <c r="I1609" t="s">
        <v>133</v>
      </c>
      <c r="O1609" t="s">
        <v>511</v>
      </c>
      <c r="Q1609" t="s">
        <v>4819</v>
      </c>
      <c r="R1609" t="s">
        <v>1685</v>
      </c>
      <c r="S1609" t="s">
        <v>1686</v>
      </c>
      <c r="T1609" t="s">
        <v>487</v>
      </c>
    </row>
    <row r="1610" spans="1:20" x14ac:dyDescent="0.2">
      <c r="A1610" t="s">
        <v>4815</v>
      </c>
      <c r="B1610" t="s">
        <v>4816</v>
      </c>
      <c r="C1610" t="s">
        <v>4817</v>
      </c>
      <c r="D1610" t="s">
        <v>61</v>
      </c>
      <c r="E1610" t="s">
        <v>255</v>
      </c>
      <c r="F1610" t="s">
        <v>133</v>
      </c>
      <c r="G1610" t="s">
        <v>133</v>
      </c>
      <c r="H1610" t="s">
        <v>133</v>
      </c>
      <c r="I1610" t="s">
        <v>133</v>
      </c>
      <c r="K1610" t="s">
        <v>4820</v>
      </c>
      <c r="O1610" t="s">
        <v>511</v>
      </c>
      <c r="Q1610" t="s">
        <v>4819</v>
      </c>
    </row>
    <row r="1611" spans="1:20" x14ac:dyDescent="0.2">
      <c r="A1611" t="s">
        <v>4821</v>
      </c>
      <c r="B1611" t="s">
        <v>4822</v>
      </c>
      <c r="C1611" t="s">
        <v>4823</v>
      </c>
      <c r="D1611" t="s">
        <v>61</v>
      </c>
      <c r="E1611" t="s">
        <v>133</v>
      </c>
      <c r="H1611" t="s">
        <v>133</v>
      </c>
      <c r="K1611" t="s">
        <v>4824</v>
      </c>
      <c r="L1611" t="s">
        <v>160</v>
      </c>
      <c r="O1611" t="s">
        <v>161</v>
      </c>
    </row>
    <row r="1612" spans="1:20" x14ac:dyDescent="0.2">
      <c r="A1612" t="s">
        <v>4825</v>
      </c>
      <c r="B1612" t="s">
        <v>4826</v>
      </c>
      <c r="C1612" t="s">
        <v>4827</v>
      </c>
      <c r="D1612" t="s">
        <v>61</v>
      </c>
      <c r="E1612" t="s">
        <v>133</v>
      </c>
      <c r="F1612" t="s">
        <v>133</v>
      </c>
      <c r="G1612" t="s">
        <v>133</v>
      </c>
      <c r="H1612" t="s">
        <v>2864</v>
      </c>
      <c r="I1612" t="s">
        <v>133</v>
      </c>
      <c r="K1612" t="s">
        <v>410</v>
      </c>
      <c r="O1612" t="s">
        <v>161</v>
      </c>
    </row>
    <row r="1613" spans="1:20" x14ac:dyDescent="0.2">
      <c r="A1613" t="s">
        <v>4828</v>
      </c>
      <c r="B1613" t="s">
        <v>4829</v>
      </c>
      <c r="C1613" t="s">
        <v>4830</v>
      </c>
      <c r="D1613" t="s">
        <v>61</v>
      </c>
      <c r="E1613" t="s">
        <v>133</v>
      </c>
      <c r="K1613" t="s">
        <v>4831</v>
      </c>
      <c r="L1613" t="s">
        <v>160</v>
      </c>
      <c r="O1613" t="s">
        <v>161</v>
      </c>
    </row>
    <row r="1614" spans="1:20" x14ac:dyDescent="0.2">
      <c r="A1614" t="s">
        <v>4832</v>
      </c>
      <c r="B1614" t="s">
        <v>4833</v>
      </c>
      <c r="C1614" t="s">
        <v>4834</v>
      </c>
      <c r="D1614" t="s">
        <v>61</v>
      </c>
      <c r="E1614" t="s">
        <v>133</v>
      </c>
      <c r="F1614" t="s">
        <v>133</v>
      </c>
      <c r="G1614" t="s">
        <v>133</v>
      </c>
      <c r="H1614" t="s">
        <v>133</v>
      </c>
      <c r="I1614" t="s">
        <v>133</v>
      </c>
      <c r="K1614" t="s">
        <v>4835</v>
      </c>
      <c r="O1614" t="s">
        <v>161</v>
      </c>
    </row>
    <row r="1615" spans="1:20" x14ac:dyDescent="0.2">
      <c r="A1615" t="s">
        <v>4836</v>
      </c>
      <c r="B1615" t="s">
        <v>4837</v>
      </c>
      <c r="C1615" t="s">
        <v>4838</v>
      </c>
      <c r="D1615" t="s">
        <v>24</v>
      </c>
      <c r="E1615" t="s">
        <v>133</v>
      </c>
      <c r="F1615" t="s">
        <v>133</v>
      </c>
      <c r="G1615" t="s">
        <v>133</v>
      </c>
      <c r="H1615" t="s">
        <v>133</v>
      </c>
      <c r="I1615" t="s">
        <v>133</v>
      </c>
      <c r="O1615" t="s">
        <v>161</v>
      </c>
      <c r="R1615" t="s">
        <v>1677</v>
      </c>
      <c r="S1615" t="s">
        <v>1678</v>
      </c>
      <c r="T1615" t="s">
        <v>487</v>
      </c>
    </row>
    <row r="1616" spans="1:20" x14ac:dyDescent="0.2">
      <c r="A1616" t="s">
        <v>4839</v>
      </c>
      <c r="B1616" t="s">
        <v>4840</v>
      </c>
      <c r="C1616" t="s">
        <v>4841</v>
      </c>
      <c r="D1616" t="s">
        <v>61</v>
      </c>
      <c r="E1616" t="s">
        <v>133</v>
      </c>
      <c r="F1616" t="s">
        <v>133</v>
      </c>
      <c r="G1616" t="s">
        <v>133</v>
      </c>
      <c r="H1616" t="s">
        <v>133</v>
      </c>
      <c r="I1616" t="s">
        <v>133</v>
      </c>
      <c r="K1616" t="s">
        <v>4842</v>
      </c>
      <c r="O1616" t="s">
        <v>161</v>
      </c>
    </row>
    <row r="1617" spans="1:20" x14ac:dyDescent="0.2">
      <c r="A1617" t="s">
        <v>4843</v>
      </c>
      <c r="B1617" t="s">
        <v>4844</v>
      </c>
      <c r="C1617" t="s">
        <v>4845</v>
      </c>
      <c r="D1617" t="s">
        <v>61</v>
      </c>
      <c r="E1617" t="s">
        <v>133</v>
      </c>
      <c r="F1617" t="s">
        <v>133</v>
      </c>
      <c r="G1617" t="s">
        <v>133</v>
      </c>
      <c r="H1617" t="s">
        <v>133</v>
      </c>
      <c r="I1617" t="s">
        <v>133</v>
      </c>
      <c r="K1617" t="s">
        <v>4846</v>
      </c>
      <c r="O1617" t="s">
        <v>161</v>
      </c>
    </row>
    <row r="1618" spans="1:20" x14ac:dyDescent="0.2">
      <c r="A1618" t="s">
        <v>4847</v>
      </c>
      <c r="B1618" t="s">
        <v>4848</v>
      </c>
      <c r="C1618" t="s">
        <v>4849</v>
      </c>
      <c r="D1618" t="s">
        <v>24</v>
      </c>
      <c r="E1618" t="s">
        <v>133</v>
      </c>
      <c r="F1618" t="s">
        <v>133</v>
      </c>
      <c r="G1618" t="s">
        <v>133</v>
      </c>
      <c r="H1618" t="s">
        <v>133</v>
      </c>
      <c r="I1618" t="s">
        <v>133</v>
      </c>
      <c r="O1618" t="s">
        <v>161</v>
      </c>
      <c r="Q1618" t="s">
        <v>4850</v>
      </c>
      <c r="R1618" t="s">
        <v>4851</v>
      </c>
      <c r="S1618" t="s">
        <v>4852</v>
      </c>
      <c r="T1618" t="s">
        <v>487</v>
      </c>
    </row>
    <row r="1619" spans="1:20" x14ac:dyDescent="0.2">
      <c r="A1619" t="s">
        <v>4853</v>
      </c>
      <c r="B1619" t="s">
        <v>4854</v>
      </c>
      <c r="C1619" t="s">
        <v>4855</v>
      </c>
      <c r="D1619" t="s">
        <v>24</v>
      </c>
      <c r="E1619" t="s">
        <v>133</v>
      </c>
      <c r="O1619" t="s">
        <v>150</v>
      </c>
      <c r="Q1619" t="s">
        <v>4856</v>
      </c>
      <c r="R1619" t="s">
        <v>4851</v>
      </c>
      <c r="S1619" t="s">
        <v>4852</v>
      </c>
      <c r="T1619" t="s">
        <v>487</v>
      </c>
    </row>
    <row r="1620" spans="1:20" x14ac:dyDescent="0.2">
      <c r="A1620" t="s">
        <v>4857</v>
      </c>
      <c r="B1620" t="s">
        <v>4858</v>
      </c>
      <c r="C1620" t="s">
        <v>4859</v>
      </c>
      <c r="D1620" t="s">
        <v>24</v>
      </c>
      <c r="E1620" t="s">
        <v>133</v>
      </c>
      <c r="F1620" t="s">
        <v>133</v>
      </c>
      <c r="G1620" t="s">
        <v>133</v>
      </c>
      <c r="H1620" t="s">
        <v>133</v>
      </c>
      <c r="I1620" t="s">
        <v>133</v>
      </c>
      <c r="O1620" t="s">
        <v>161</v>
      </c>
      <c r="R1620" t="s">
        <v>1677</v>
      </c>
      <c r="S1620" t="s">
        <v>1678</v>
      </c>
      <c r="T1620" t="s">
        <v>487</v>
      </c>
    </row>
    <row r="1621" spans="1:20" x14ac:dyDescent="0.2">
      <c r="A1621" t="s">
        <v>4860</v>
      </c>
      <c r="B1621" t="s">
        <v>4861</v>
      </c>
      <c r="C1621" t="s">
        <v>4862</v>
      </c>
      <c r="D1621" t="s">
        <v>61</v>
      </c>
      <c r="E1621" t="s">
        <v>133</v>
      </c>
      <c r="F1621" t="s">
        <v>133</v>
      </c>
      <c r="G1621" t="s">
        <v>133</v>
      </c>
      <c r="H1621" t="s">
        <v>133</v>
      </c>
      <c r="I1621" t="s">
        <v>133</v>
      </c>
      <c r="K1621" t="s">
        <v>4863</v>
      </c>
      <c r="O1621" t="s">
        <v>161</v>
      </c>
    </row>
    <row r="1622" spans="1:20" x14ac:dyDescent="0.2">
      <c r="A1622" t="s">
        <v>4864</v>
      </c>
      <c r="B1622" t="s">
        <v>4865</v>
      </c>
      <c r="C1622" t="s">
        <v>4866</v>
      </c>
      <c r="D1622" t="s">
        <v>24</v>
      </c>
      <c r="E1622" t="s">
        <v>505</v>
      </c>
      <c r="F1622" t="s">
        <v>133</v>
      </c>
      <c r="G1622" t="s">
        <v>133</v>
      </c>
      <c r="H1622" t="s">
        <v>133</v>
      </c>
      <c r="I1622" t="s">
        <v>133</v>
      </c>
      <c r="O1622" t="s">
        <v>511</v>
      </c>
      <c r="R1622" t="s">
        <v>1674</v>
      </c>
      <c r="S1622" t="s">
        <v>1675</v>
      </c>
      <c r="T1622" t="s">
        <v>487</v>
      </c>
    </row>
    <row r="1623" spans="1:20" x14ac:dyDescent="0.2">
      <c r="A1623" t="s">
        <v>4867</v>
      </c>
      <c r="B1623" t="s">
        <v>4868</v>
      </c>
      <c r="C1623" t="s">
        <v>4869</v>
      </c>
      <c r="D1623" t="s">
        <v>61</v>
      </c>
      <c r="E1623" t="s">
        <v>133</v>
      </c>
      <c r="K1623" t="s">
        <v>4870</v>
      </c>
      <c r="L1623" t="s">
        <v>160</v>
      </c>
      <c r="O1623" t="s">
        <v>161</v>
      </c>
    </row>
    <row r="1624" spans="1:20" x14ac:dyDescent="0.2">
      <c r="A1624" t="s">
        <v>4871</v>
      </c>
      <c r="B1624" t="s">
        <v>4872</v>
      </c>
      <c r="C1624" t="s">
        <v>4873</v>
      </c>
      <c r="D1624" t="s">
        <v>61</v>
      </c>
      <c r="E1624" t="s">
        <v>133</v>
      </c>
      <c r="H1624" t="s">
        <v>133</v>
      </c>
      <c r="I1624" t="s">
        <v>133</v>
      </c>
      <c r="J1624" t="s">
        <v>133</v>
      </c>
      <c r="K1624" t="s">
        <v>4874</v>
      </c>
      <c r="O1624" t="s">
        <v>161</v>
      </c>
    </row>
    <row r="1625" spans="1:20" x14ac:dyDescent="0.2">
      <c r="A1625" t="s">
        <v>4875</v>
      </c>
      <c r="B1625" t="s">
        <v>4876</v>
      </c>
      <c r="C1625" t="s">
        <v>4877</v>
      </c>
      <c r="D1625" t="s">
        <v>24</v>
      </c>
      <c r="E1625" t="s">
        <v>133</v>
      </c>
      <c r="H1625" t="s">
        <v>133</v>
      </c>
      <c r="I1625" t="s">
        <v>133</v>
      </c>
      <c r="J1625" t="s">
        <v>133</v>
      </c>
      <c r="O1625" t="s">
        <v>161</v>
      </c>
      <c r="R1625" t="s">
        <v>1680</v>
      </c>
      <c r="S1625" t="s">
        <v>1658</v>
      </c>
      <c r="T1625" t="s">
        <v>487</v>
      </c>
    </row>
    <row r="1626" spans="1:20" x14ac:dyDescent="0.2">
      <c r="A1626" t="s">
        <v>4878</v>
      </c>
      <c r="B1626" t="s">
        <v>4879</v>
      </c>
      <c r="C1626" t="s">
        <v>4880</v>
      </c>
      <c r="D1626" t="s">
        <v>24</v>
      </c>
      <c r="E1626" t="s">
        <v>133</v>
      </c>
      <c r="F1626" t="s">
        <v>133</v>
      </c>
      <c r="G1626" t="s">
        <v>133</v>
      </c>
      <c r="H1626" t="s">
        <v>133</v>
      </c>
      <c r="I1626" t="s">
        <v>133</v>
      </c>
      <c r="O1626" t="s">
        <v>161</v>
      </c>
      <c r="R1626" t="s">
        <v>1674</v>
      </c>
      <c r="S1626" t="s">
        <v>1675</v>
      </c>
      <c r="T1626" t="s">
        <v>487</v>
      </c>
    </row>
    <row r="1627" spans="1:20" x14ac:dyDescent="0.2">
      <c r="A1627" t="s">
        <v>4881</v>
      </c>
      <c r="B1627" t="s">
        <v>4882</v>
      </c>
      <c r="C1627" t="s">
        <v>4883</v>
      </c>
      <c r="D1627" t="s">
        <v>24</v>
      </c>
      <c r="E1627" t="s">
        <v>133</v>
      </c>
      <c r="F1627" t="s">
        <v>133</v>
      </c>
      <c r="G1627" t="s">
        <v>133</v>
      </c>
      <c r="H1627" t="s">
        <v>133</v>
      </c>
      <c r="I1627" t="s">
        <v>133</v>
      </c>
      <c r="O1627" t="s">
        <v>161</v>
      </c>
      <c r="R1627" t="s">
        <v>1219</v>
      </c>
      <c r="S1627" t="s">
        <v>1220</v>
      </c>
      <c r="T1627" t="s">
        <v>487</v>
      </c>
    </row>
    <row r="1628" spans="1:20" x14ac:dyDescent="0.2">
      <c r="A1628" t="s">
        <v>4884</v>
      </c>
      <c r="B1628" t="s">
        <v>4885</v>
      </c>
      <c r="C1628" t="s">
        <v>4886</v>
      </c>
      <c r="D1628" t="s">
        <v>24</v>
      </c>
      <c r="E1628" t="s">
        <v>133</v>
      </c>
      <c r="F1628" t="s">
        <v>133</v>
      </c>
      <c r="G1628" t="s">
        <v>133</v>
      </c>
      <c r="H1628" t="s">
        <v>133</v>
      </c>
      <c r="I1628" t="s">
        <v>133</v>
      </c>
      <c r="O1628" t="s">
        <v>161</v>
      </c>
      <c r="R1628" t="s">
        <v>1004</v>
      </c>
      <c r="S1628" t="s">
        <v>1005</v>
      </c>
      <c r="T1628" t="s">
        <v>487</v>
      </c>
    </row>
    <row r="1629" spans="1:20" x14ac:dyDescent="0.2">
      <c r="A1629" t="s">
        <v>4887</v>
      </c>
      <c r="B1629" t="s">
        <v>4888</v>
      </c>
      <c r="C1629" t="s">
        <v>4889</v>
      </c>
      <c r="D1629" t="s">
        <v>35</v>
      </c>
      <c r="E1629" t="s">
        <v>505</v>
      </c>
      <c r="F1629" t="s">
        <v>133</v>
      </c>
      <c r="G1629" t="s">
        <v>133</v>
      </c>
      <c r="H1629" t="s">
        <v>133</v>
      </c>
      <c r="I1629" t="s">
        <v>133</v>
      </c>
      <c r="O1629" t="s">
        <v>161</v>
      </c>
      <c r="R1629" t="s">
        <v>1680</v>
      </c>
      <c r="S1629" t="s">
        <v>1658</v>
      </c>
      <c r="T1629" t="s">
        <v>1663</v>
      </c>
    </row>
    <row r="1630" spans="1:20" x14ac:dyDescent="0.2">
      <c r="A1630" t="s">
        <v>4887</v>
      </c>
      <c r="B1630" t="s">
        <v>4888</v>
      </c>
      <c r="C1630" t="s">
        <v>4889</v>
      </c>
      <c r="D1630" t="s">
        <v>14</v>
      </c>
      <c r="E1630" t="s">
        <v>255</v>
      </c>
      <c r="F1630" t="s">
        <v>133</v>
      </c>
      <c r="G1630" t="s">
        <v>133</v>
      </c>
      <c r="H1630" t="s">
        <v>133</v>
      </c>
      <c r="I1630" t="s">
        <v>133</v>
      </c>
      <c r="K1630" t="s">
        <v>4890</v>
      </c>
      <c r="O1630" t="s">
        <v>161</v>
      </c>
    </row>
    <row r="1631" spans="1:20" x14ac:dyDescent="0.2">
      <c r="A1631" t="s">
        <v>1661</v>
      </c>
      <c r="B1631" t="s">
        <v>1662</v>
      </c>
      <c r="C1631" t="s">
        <v>414</v>
      </c>
      <c r="D1631" t="s">
        <v>24</v>
      </c>
      <c r="E1631" t="s">
        <v>133</v>
      </c>
      <c r="F1631" t="s">
        <v>133</v>
      </c>
      <c r="G1631" t="s">
        <v>133</v>
      </c>
      <c r="H1631" t="s">
        <v>133</v>
      </c>
      <c r="I1631" t="s">
        <v>133</v>
      </c>
      <c r="M1631" t="s">
        <v>291</v>
      </c>
      <c r="O1631" t="s">
        <v>161</v>
      </c>
      <c r="T1631" t="s">
        <v>1663</v>
      </c>
    </row>
    <row r="1632" spans="1:20" x14ac:dyDescent="0.2">
      <c r="A1632" t="s">
        <v>4891</v>
      </c>
      <c r="B1632" t="s">
        <v>4892</v>
      </c>
      <c r="C1632" t="s">
        <v>4893</v>
      </c>
      <c r="D1632" t="s">
        <v>14</v>
      </c>
      <c r="E1632" t="s">
        <v>133</v>
      </c>
      <c r="F1632" t="s">
        <v>133</v>
      </c>
      <c r="G1632" t="s">
        <v>133</v>
      </c>
      <c r="H1632" t="s">
        <v>133</v>
      </c>
      <c r="I1632" t="s">
        <v>133</v>
      </c>
      <c r="K1632" t="s">
        <v>4894</v>
      </c>
      <c r="O1632" t="s">
        <v>161</v>
      </c>
    </row>
    <row r="1633" spans="1:20" x14ac:dyDescent="0.2">
      <c r="A1633" t="s">
        <v>4895</v>
      </c>
      <c r="B1633" t="s">
        <v>4896</v>
      </c>
      <c r="C1633" t="s">
        <v>4897</v>
      </c>
      <c r="D1633" t="s">
        <v>14</v>
      </c>
      <c r="E1633" t="s">
        <v>133</v>
      </c>
      <c r="F1633" t="s">
        <v>133</v>
      </c>
      <c r="G1633" t="s">
        <v>133</v>
      </c>
      <c r="H1633" t="s">
        <v>133</v>
      </c>
      <c r="I1633" t="s">
        <v>133</v>
      </c>
      <c r="K1633" t="s">
        <v>4898</v>
      </c>
      <c r="O1633" t="s">
        <v>161</v>
      </c>
    </row>
    <row r="1634" spans="1:20" x14ac:dyDescent="0.2">
      <c r="A1634" t="s">
        <v>4899</v>
      </c>
      <c r="B1634" t="s">
        <v>4900</v>
      </c>
      <c r="C1634" t="s">
        <v>4901</v>
      </c>
      <c r="D1634" t="s">
        <v>14</v>
      </c>
      <c r="E1634" t="s">
        <v>133</v>
      </c>
      <c r="F1634" t="s">
        <v>133</v>
      </c>
      <c r="G1634" t="s">
        <v>133</v>
      </c>
      <c r="H1634" t="s">
        <v>133</v>
      </c>
      <c r="I1634" t="s">
        <v>133</v>
      </c>
      <c r="K1634" t="s">
        <v>4902</v>
      </c>
      <c r="O1634" t="s">
        <v>161</v>
      </c>
    </row>
    <row r="1635" spans="1:20" x14ac:dyDescent="0.2">
      <c r="A1635" t="s">
        <v>4903</v>
      </c>
      <c r="B1635" t="s">
        <v>4904</v>
      </c>
      <c r="C1635" t="s">
        <v>4905</v>
      </c>
      <c r="D1635" t="s">
        <v>24</v>
      </c>
      <c r="E1635" t="s">
        <v>133</v>
      </c>
      <c r="O1635" t="s">
        <v>511</v>
      </c>
      <c r="Q1635" t="s">
        <v>4906</v>
      </c>
      <c r="R1635" t="s">
        <v>1680</v>
      </c>
      <c r="S1635" t="s">
        <v>1658</v>
      </c>
      <c r="T1635" t="s">
        <v>1663</v>
      </c>
    </row>
    <row r="1636" spans="1:20" x14ac:dyDescent="0.2">
      <c r="A1636" t="s">
        <v>4907</v>
      </c>
      <c r="B1636" t="s">
        <v>4908</v>
      </c>
      <c r="C1636" t="s">
        <v>4909</v>
      </c>
      <c r="D1636" t="s">
        <v>14</v>
      </c>
      <c r="E1636" t="s">
        <v>133</v>
      </c>
      <c r="F1636" t="s">
        <v>133</v>
      </c>
      <c r="G1636" t="s">
        <v>133</v>
      </c>
      <c r="H1636" t="s">
        <v>133</v>
      </c>
      <c r="I1636" t="s">
        <v>133</v>
      </c>
      <c r="K1636" t="s">
        <v>4910</v>
      </c>
      <c r="O1636" t="s">
        <v>161</v>
      </c>
    </row>
    <row r="1637" spans="1:20" x14ac:dyDescent="0.2">
      <c r="A1637" t="s">
        <v>4911</v>
      </c>
      <c r="B1637" t="s">
        <v>4912</v>
      </c>
      <c r="C1637" t="s">
        <v>4913</v>
      </c>
      <c r="D1637" t="s">
        <v>24</v>
      </c>
      <c r="E1637" t="s">
        <v>133</v>
      </c>
      <c r="F1637" t="s">
        <v>133</v>
      </c>
      <c r="G1637" t="s">
        <v>133</v>
      </c>
      <c r="H1637" t="s">
        <v>133</v>
      </c>
      <c r="I1637" t="s">
        <v>133</v>
      </c>
      <c r="O1637" t="s">
        <v>511</v>
      </c>
      <c r="Q1637" t="s">
        <v>4914</v>
      </c>
      <c r="R1637" t="s">
        <v>1680</v>
      </c>
      <c r="S1637" t="s">
        <v>1658</v>
      </c>
      <c r="T1637" t="s">
        <v>1663</v>
      </c>
    </row>
    <row r="1638" spans="1:20" x14ac:dyDescent="0.2">
      <c r="A1638" t="s">
        <v>4915</v>
      </c>
      <c r="B1638" t="s">
        <v>4916</v>
      </c>
      <c r="C1638" t="s">
        <v>4917</v>
      </c>
      <c r="D1638" t="s">
        <v>14</v>
      </c>
      <c r="E1638" t="s">
        <v>133</v>
      </c>
      <c r="F1638" t="s">
        <v>133</v>
      </c>
      <c r="G1638" t="s">
        <v>133</v>
      </c>
      <c r="H1638" t="s">
        <v>133</v>
      </c>
      <c r="I1638" t="s">
        <v>133</v>
      </c>
      <c r="K1638" t="s">
        <v>4918</v>
      </c>
      <c r="O1638" t="s">
        <v>161</v>
      </c>
    </row>
    <row r="1639" spans="1:20" x14ac:dyDescent="0.2">
      <c r="A1639" t="s">
        <v>4919</v>
      </c>
      <c r="B1639" t="s">
        <v>4920</v>
      </c>
      <c r="C1639" t="s">
        <v>4921</v>
      </c>
      <c r="D1639" t="s">
        <v>35</v>
      </c>
      <c r="E1639" t="s">
        <v>505</v>
      </c>
      <c r="F1639" t="s">
        <v>133</v>
      </c>
      <c r="G1639" t="s">
        <v>133</v>
      </c>
      <c r="H1639" t="s">
        <v>4818</v>
      </c>
      <c r="I1639" t="s">
        <v>133</v>
      </c>
      <c r="O1639" t="s">
        <v>511</v>
      </c>
      <c r="Q1639" t="s">
        <v>4922</v>
      </c>
      <c r="R1639" t="s">
        <v>1682</v>
      </c>
      <c r="S1639" t="s">
        <v>1683</v>
      </c>
      <c r="T1639" t="s">
        <v>1663</v>
      </c>
    </row>
    <row r="1640" spans="1:20" x14ac:dyDescent="0.2">
      <c r="A1640" t="s">
        <v>4919</v>
      </c>
      <c r="B1640" t="s">
        <v>4920</v>
      </c>
      <c r="C1640" t="s">
        <v>4921</v>
      </c>
      <c r="D1640" t="s">
        <v>35</v>
      </c>
      <c r="E1640" t="s">
        <v>505</v>
      </c>
      <c r="F1640" t="s">
        <v>133</v>
      </c>
      <c r="G1640" t="s">
        <v>133</v>
      </c>
      <c r="H1640" t="s">
        <v>1684</v>
      </c>
      <c r="I1640" t="s">
        <v>133</v>
      </c>
      <c r="O1640" t="s">
        <v>511</v>
      </c>
      <c r="Q1640" t="s">
        <v>4922</v>
      </c>
      <c r="R1640" t="s">
        <v>1685</v>
      </c>
      <c r="S1640" t="s">
        <v>1686</v>
      </c>
      <c r="T1640" t="s">
        <v>1663</v>
      </c>
    </row>
    <row r="1641" spans="1:20" x14ac:dyDescent="0.2">
      <c r="A1641" t="s">
        <v>4919</v>
      </c>
      <c r="B1641" t="s">
        <v>4920</v>
      </c>
      <c r="C1641" t="s">
        <v>4921</v>
      </c>
      <c r="D1641" t="s">
        <v>14</v>
      </c>
      <c r="E1641" t="s">
        <v>255</v>
      </c>
      <c r="F1641" t="s">
        <v>133</v>
      </c>
      <c r="G1641" t="s">
        <v>133</v>
      </c>
      <c r="H1641" t="s">
        <v>133</v>
      </c>
      <c r="I1641" t="s">
        <v>133</v>
      </c>
      <c r="K1641" t="s">
        <v>4923</v>
      </c>
      <c r="O1641" t="s">
        <v>511</v>
      </c>
      <c r="Q1641" t="s">
        <v>4922</v>
      </c>
    </row>
    <row r="1642" spans="1:20" x14ac:dyDescent="0.2">
      <c r="A1642" t="s">
        <v>4924</v>
      </c>
      <c r="B1642" t="s">
        <v>4925</v>
      </c>
      <c r="C1642" t="s">
        <v>4926</v>
      </c>
      <c r="D1642" t="s">
        <v>14</v>
      </c>
      <c r="E1642" t="s">
        <v>133</v>
      </c>
      <c r="H1642" t="s">
        <v>133</v>
      </c>
      <c r="K1642" t="s">
        <v>4927</v>
      </c>
      <c r="L1642" t="s">
        <v>160</v>
      </c>
      <c r="O1642" t="s">
        <v>161</v>
      </c>
    </row>
    <row r="1643" spans="1:20" x14ac:dyDescent="0.2">
      <c r="A1643" t="s">
        <v>4928</v>
      </c>
      <c r="B1643" t="s">
        <v>4929</v>
      </c>
      <c r="C1643" t="s">
        <v>4930</v>
      </c>
      <c r="D1643" t="s">
        <v>14</v>
      </c>
      <c r="E1643" t="s">
        <v>133</v>
      </c>
      <c r="F1643" t="s">
        <v>133</v>
      </c>
      <c r="G1643" t="s">
        <v>133</v>
      </c>
      <c r="H1643" t="s">
        <v>4219</v>
      </c>
      <c r="I1643" t="s">
        <v>133</v>
      </c>
      <c r="K1643" t="s">
        <v>4931</v>
      </c>
      <c r="O1643" t="s">
        <v>161</v>
      </c>
    </row>
    <row r="1644" spans="1:20" x14ac:dyDescent="0.2">
      <c r="A1644" t="s">
        <v>4932</v>
      </c>
      <c r="B1644" t="s">
        <v>4896</v>
      </c>
      <c r="C1644" t="s">
        <v>4931</v>
      </c>
      <c r="D1644" t="s">
        <v>35</v>
      </c>
      <c r="E1644" t="s">
        <v>133</v>
      </c>
      <c r="F1644" t="s">
        <v>133</v>
      </c>
      <c r="G1644" t="s">
        <v>133</v>
      </c>
      <c r="H1644" t="s">
        <v>133</v>
      </c>
      <c r="I1644" t="s">
        <v>133</v>
      </c>
      <c r="M1644" t="s">
        <v>291</v>
      </c>
      <c r="O1644" t="s">
        <v>161</v>
      </c>
      <c r="T1644" t="s">
        <v>1663</v>
      </c>
    </row>
    <row r="1645" spans="1:20" x14ac:dyDescent="0.2">
      <c r="A1645" t="s">
        <v>4933</v>
      </c>
      <c r="B1645" t="s">
        <v>4934</v>
      </c>
      <c r="C1645" t="s">
        <v>4935</v>
      </c>
      <c r="D1645" t="s">
        <v>14</v>
      </c>
      <c r="E1645" t="s">
        <v>133</v>
      </c>
      <c r="H1645" t="s">
        <v>133</v>
      </c>
      <c r="K1645" t="s">
        <v>4936</v>
      </c>
      <c r="L1645" t="s">
        <v>160</v>
      </c>
      <c r="O1645" t="s">
        <v>161</v>
      </c>
    </row>
    <row r="1646" spans="1:20" x14ac:dyDescent="0.2">
      <c r="A1646" t="s">
        <v>4937</v>
      </c>
      <c r="B1646" t="s">
        <v>4938</v>
      </c>
      <c r="C1646" t="s">
        <v>4939</v>
      </c>
      <c r="D1646" t="s">
        <v>14</v>
      </c>
      <c r="E1646" t="s">
        <v>133</v>
      </c>
      <c r="F1646" t="s">
        <v>133</v>
      </c>
      <c r="G1646" t="s">
        <v>133</v>
      </c>
      <c r="H1646" t="s">
        <v>133</v>
      </c>
      <c r="I1646" t="s">
        <v>133</v>
      </c>
      <c r="K1646" t="s">
        <v>4940</v>
      </c>
      <c r="O1646" t="s">
        <v>161</v>
      </c>
    </row>
    <row r="1647" spans="1:20" x14ac:dyDescent="0.2">
      <c r="A1647" t="s">
        <v>4941</v>
      </c>
      <c r="B1647" t="s">
        <v>4942</v>
      </c>
      <c r="C1647" t="s">
        <v>4943</v>
      </c>
      <c r="D1647" t="s">
        <v>14</v>
      </c>
      <c r="E1647" t="s">
        <v>133</v>
      </c>
      <c r="F1647" t="s">
        <v>133</v>
      </c>
      <c r="G1647" t="s">
        <v>133</v>
      </c>
      <c r="H1647" t="s">
        <v>133</v>
      </c>
      <c r="I1647" t="s">
        <v>133</v>
      </c>
      <c r="K1647" t="s">
        <v>4944</v>
      </c>
      <c r="O1647" t="s">
        <v>161</v>
      </c>
    </row>
    <row r="1648" spans="1:20" x14ac:dyDescent="0.2">
      <c r="A1648" t="s">
        <v>4945</v>
      </c>
      <c r="B1648" t="s">
        <v>4946</v>
      </c>
      <c r="C1648" t="s">
        <v>4947</v>
      </c>
      <c r="D1648" t="s">
        <v>24</v>
      </c>
      <c r="E1648" t="s">
        <v>133</v>
      </c>
      <c r="O1648" t="s">
        <v>511</v>
      </c>
      <c r="Q1648" t="s">
        <v>4948</v>
      </c>
      <c r="R1648" t="s">
        <v>4851</v>
      </c>
      <c r="S1648" t="s">
        <v>4852</v>
      </c>
      <c r="T1648" t="s">
        <v>1663</v>
      </c>
    </row>
    <row r="1649" spans="1:20" x14ac:dyDescent="0.2">
      <c r="A1649" t="s">
        <v>4949</v>
      </c>
      <c r="B1649" t="s">
        <v>4950</v>
      </c>
      <c r="C1649" t="s">
        <v>4951</v>
      </c>
      <c r="D1649" t="s">
        <v>14</v>
      </c>
      <c r="E1649" t="s">
        <v>133</v>
      </c>
      <c r="F1649" t="s">
        <v>133</v>
      </c>
      <c r="G1649" t="s">
        <v>133</v>
      </c>
      <c r="H1649" t="s">
        <v>133</v>
      </c>
      <c r="I1649" t="s">
        <v>133</v>
      </c>
      <c r="K1649" t="s">
        <v>4952</v>
      </c>
      <c r="O1649" t="s">
        <v>161</v>
      </c>
    </row>
    <row r="1650" spans="1:20" x14ac:dyDescent="0.2">
      <c r="A1650" t="s">
        <v>4953</v>
      </c>
      <c r="B1650" t="s">
        <v>4954</v>
      </c>
      <c r="C1650" t="s">
        <v>4955</v>
      </c>
      <c r="D1650" t="s">
        <v>24</v>
      </c>
      <c r="E1650" t="s">
        <v>133</v>
      </c>
      <c r="F1650" t="s">
        <v>133</v>
      </c>
      <c r="G1650" t="s">
        <v>133</v>
      </c>
      <c r="H1650" t="s">
        <v>133</v>
      </c>
      <c r="I1650" t="s">
        <v>133</v>
      </c>
      <c r="O1650" t="s">
        <v>161</v>
      </c>
      <c r="Q1650" t="s">
        <v>4956</v>
      </c>
      <c r="R1650" t="s">
        <v>4851</v>
      </c>
      <c r="S1650" t="s">
        <v>4852</v>
      </c>
      <c r="T1650" t="s">
        <v>1663</v>
      </c>
    </row>
    <row r="1651" spans="1:20" x14ac:dyDescent="0.2">
      <c r="A1651" t="s">
        <v>4957</v>
      </c>
      <c r="B1651" t="s">
        <v>4958</v>
      </c>
      <c r="C1651" t="s">
        <v>4959</v>
      </c>
      <c r="D1651" t="s">
        <v>14</v>
      </c>
      <c r="E1651" t="s">
        <v>133</v>
      </c>
      <c r="K1651" t="s">
        <v>4960</v>
      </c>
      <c r="O1651" t="s">
        <v>150</v>
      </c>
    </row>
    <row r="1652" spans="1:20" x14ac:dyDescent="0.2">
      <c r="A1652" t="s">
        <v>4961</v>
      </c>
      <c r="B1652" t="s">
        <v>4962</v>
      </c>
      <c r="C1652" t="s">
        <v>4963</v>
      </c>
      <c r="D1652" t="s">
        <v>24</v>
      </c>
      <c r="E1652" t="s">
        <v>133</v>
      </c>
      <c r="O1652" t="s">
        <v>150</v>
      </c>
      <c r="Q1652" t="s">
        <v>4964</v>
      </c>
      <c r="R1652" t="s">
        <v>4851</v>
      </c>
      <c r="S1652" t="s">
        <v>4852</v>
      </c>
      <c r="T1652" t="s">
        <v>1663</v>
      </c>
    </row>
    <row r="1653" spans="1:20" x14ac:dyDescent="0.2">
      <c r="A1653" t="s">
        <v>4965</v>
      </c>
      <c r="B1653" t="s">
        <v>4966</v>
      </c>
      <c r="C1653" t="s">
        <v>4967</v>
      </c>
      <c r="D1653" t="s">
        <v>14</v>
      </c>
      <c r="E1653" t="s">
        <v>133</v>
      </c>
      <c r="K1653" t="s">
        <v>4968</v>
      </c>
      <c r="O1653" t="s">
        <v>150</v>
      </c>
    </row>
    <row r="1654" spans="1:20" x14ac:dyDescent="0.2">
      <c r="A1654" t="s">
        <v>4969</v>
      </c>
      <c r="B1654" t="s">
        <v>4970</v>
      </c>
      <c r="C1654" t="s">
        <v>4971</v>
      </c>
      <c r="D1654" t="s">
        <v>14</v>
      </c>
      <c r="E1654" t="s">
        <v>133</v>
      </c>
      <c r="K1654" t="s">
        <v>4972</v>
      </c>
      <c r="O1654" t="s">
        <v>150</v>
      </c>
    </row>
    <row r="1655" spans="1:20" x14ac:dyDescent="0.2">
      <c r="A1655" t="s">
        <v>4973</v>
      </c>
      <c r="B1655" t="s">
        <v>4974</v>
      </c>
      <c r="C1655" t="s">
        <v>4975</v>
      </c>
      <c r="D1655" t="s">
        <v>14</v>
      </c>
      <c r="E1655" t="s">
        <v>133</v>
      </c>
      <c r="K1655" t="s">
        <v>4976</v>
      </c>
      <c r="O1655" t="s">
        <v>150</v>
      </c>
    </row>
    <row r="1656" spans="1:20" x14ac:dyDescent="0.2">
      <c r="A1656" t="s">
        <v>4977</v>
      </c>
      <c r="B1656" t="s">
        <v>4978</v>
      </c>
      <c r="C1656" t="s">
        <v>4979</v>
      </c>
      <c r="D1656" t="s">
        <v>35</v>
      </c>
      <c r="E1656" t="s">
        <v>133</v>
      </c>
      <c r="O1656" t="s">
        <v>511</v>
      </c>
      <c r="Q1656" t="s">
        <v>4980</v>
      </c>
      <c r="R1656" t="s">
        <v>4851</v>
      </c>
      <c r="S1656" t="s">
        <v>4852</v>
      </c>
      <c r="T1656" t="s">
        <v>1663</v>
      </c>
    </row>
    <row r="1657" spans="1:20" x14ac:dyDescent="0.2">
      <c r="A1657" t="s">
        <v>4981</v>
      </c>
      <c r="B1657" t="s">
        <v>4982</v>
      </c>
      <c r="C1657" t="s">
        <v>4983</v>
      </c>
      <c r="D1657" t="s">
        <v>35</v>
      </c>
      <c r="E1657" t="s">
        <v>133</v>
      </c>
      <c r="O1657" t="s">
        <v>511</v>
      </c>
      <c r="R1657" t="s">
        <v>4851</v>
      </c>
      <c r="S1657" t="s">
        <v>4852</v>
      </c>
      <c r="T1657" t="s">
        <v>1663</v>
      </c>
    </row>
    <row r="1658" spans="1:20" x14ac:dyDescent="0.2">
      <c r="A1658" t="s">
        <v>4984</v>
      </c>
      <c r="B1658" t="s">
        <v>4985</v>
      </c>
      <c r="C1658" t="s">
        <v>4986</v>
      </c>
      <c r="D1658" t="s">
        <v>14</v>
      </c>
      <c r="E1658" t="s">
        <v>133</v>
      </c>
      <c r="K1658" t="s">
        <v>4987</v>
      </c>
      <c r="O1658" t="s">
        <v>150</v>
      </c>
    </row>
    <row r="1659" spans="1:20" x14ac:dyDescent="0.2">
      <c r="A1659" t="s">
        <v>4988</v>
      </c>
      <c r="B1659" t="s">
        <v>4989</v>
      </c>
      <c r="C1659" t="s">
        <v>4990</v>
      </c>
      <c r="D1659" t="s">
        <v>35</v>
      </c>
      <c r="E1659" t="s">
        <v>133</v>
      </c>
      <c r="O1659" t="s">
        <v>511</v>
      </c>
      <c r="Q1659" t="s">
        <v>4991</v>
      </c>
      <c r="R1659" t="s">
        <v>4851</v>
      </c>
      <c r="S1659" t="s">
        <v>4852</v>
      </c>
      <c r="T1659" t="s">
        <v>1663</v>
      </c>
    </row>
    <row r="1660" spans="1:20" x14ac:dyDescent="0.2">
      <c r="A1660" t="s">
        <v>4992</v>
      </c>
      <c r="B1660" t="s">
        <v>4993</v>
      </c>
      <c r="C1660" t="s">
        <v>4994</v>
      </c>
      <c r="D1660" t="s">
        <v>24</v>
      </c>
      <c r="E1660" t="s">
        <v>133</v>
      </c>
      <c r="F1660" t="s">
        <v>133</v>
      </c>
      <c r="G1660" t="s">
        <v>133</v>
      </c>
      <c r="H1660" t="s">
        <v>133</v>
      </c>
      <c r="I1660" t="s">
        <v>133</v>
      </c>
      <c r="O1660" t="s">
        <v>161</v>
      </c>
      <c r="R1660" t="s">
        <v>1677</v>
      </c>
      <c r="S1660" t="s">
        <v>1678</v>
      </c>
      <c r="T1660" t="s">
        <v>1663</v>
      </c>
    </row>
    <row r="1661" spans="1:20" x14ac:dyDescent="0.2">
      <c r="A1661" t="s">
        <v>4995</v>
      </c>
      <c r="B1661" t="s">
        <v>4996</v>
      </c>
      <c r="C1661" t="s">
        <v>4997</v>
      </c>
      <c r="D1661" t="s">
        <v>14</v>
      </c>
      <c r="E1661" t="s">
        <v>255</v>
      </c>
      <c r="F1661" t="s">
        <v>133</v>
      </c>
      <c r="G1661" t="s">
        <v>133</v>
      </c>
      <c r="H1661" t="s">
        <v>133</v>
      </c>
      <c r="I1661" t="s">
        <v>133</v>
      </c>
      <c r="K1661" t="s">
        <v>4931</v>
      </c>
      <c r="O1661" t="s">
        <v>161</v>
      </c>
    </row>
    <row r="1662" spans="1:20" x14ac:dyDescent="0.2">
      <c r="A1662" t="s">
        <v>4995</v>
      </c>
      <c r="B1662" t="s">
        <v>4996</v>
      </c>
      <c r="C1662" t="s">
        <v>4997</v>
      </c>
      <c r="D1662" t="s">
        <v>35</v>
      </c>
      <c r="E1662" t="s">
        <v>505</v>
      </c>
      <c r="F1662" t="s">
        <v>133</v>
      </c>
      <c r="G1662" t="s">
        <v>133</v>
      </c>
      <c r="H1662" t="s">
        <v>133</v>
      </c>
      <c r="I1662" t="s">
        <v>133</v>
      </c>
      <c r="O1662" t="s">
        <v>161</v>
      </c>
      <c r="R1662" t="s">
        <v>1219</v>
      </c>
      <c r="S1662" t="s">
        <v>1220</v>
      </c>
      <c r="T1662" t="s">
        <v>1663</v>
      </c>
    </row>
    <row r="1663" spans="1:20" x14ac:dyDescent="0.2">
      <c r="A1663" t="s">
        <v>4998</v>
      </c>
      <c r="B1663" t="s">
        <v>4999</v>
      </c>
      <c r="C1663" t="s">
        <v>5000</v>
      </c>
      <c r="D1663" t="s">
        <v>14</v>
      </c>
      <c r="E1663" t="s">
        <v>133</v>
      </c>
      <c r="F1663" t="s">
        <v>133</v>
      </c>
      <c r="G1663" t="s">
        <v>133</v>
      </c>
      <c r="H1663" t="s">
        <v>133</v>
      </c>
      <c r="I1663" t="s">
        <v>133</v>
      </c>
      <c r="K1663" t="s">
        <v>5001</v>
      </c>
      <c r="O1663" t="s">
        <v>161</v>
      </c>
    </row>
    <row r="1664" spans="1:20" x14ac:dyDescent="0.2">
      <c r="A1664" t="s">
        <v>5002</v>
      </c>
      <c r="B1664" t="s">
        <v>5003</v>
      </c>
      <c r="C1664" t="s">
        <v>5004</v>
      </c>
      <c r="D1664" t="s">
        <v>14</v>
      </c>
      <c r="E1664" t="s">
        <v>133</v>
      </c>
      <c r="F1664" t="s">
        <v>133</v>
      </c>
      <c r="G1664" t="s">
        <v>133</v>
      </c>
      <c r="H1664" t="s">
        <v>133</v>
      </c>
      <c r="I1664" t="s">
        <v>133</v>
      </c>
      <c r="K1664" t="s">
        <v>5005</v>
      </c>
      <c r="O1664" t="s">
        <v>161</v>
      </c>
    </row>
    <row r="1665" spans="1:20" x14ac:dyDescent="0.2">
      <c r="A1665" t="s">
        <v>5006</v>
      </c>
      <c r="B1665" t="s">
        <v>5007</v>
      </c>
      <c r="C1665" t="s">
        <v>5008</v>
      </c>
      <c r="D1665" t="s">
        <v>24</v>
      </c>
      <c r="E1665" t="s">
        <v>133</v>
      </c>
      <c r="O1665" t="s">
        <v>161</v>
      </c>
      <c r="R1665" t="s">
        <v>1680</v>
      </c>
      <c r="S1665" t="s">
        <v>1658</v>
      </c>
      <c r="T1665" t="s">
        <v>1663</v>
      </c>
    </row>
    <row r="1666" spans="1:20" x14ac:dyDescent="0.2">
      <c r="A1666" t="s">
        <v>5009</v>
      </c>
      <c r="B1666" t="s">
        <v>5010</v>
      </c>
      <c r="C1666" t="s">
        <v>5011</v>
      </c>
      <c r="D1666" t="s">
        <v>14</v>
      </c>
      <c r="E1666" t="s">
        <v>133</v>
      </c>
      <c r="F1666" t="s">
        <v>133</v>
      </c>
      <c r="G1666" t="s">
        <v>133</v>
      </c>
      <c r="H1666" t="s">
        <v>133</v>
      </c>
      <c r="I1666" t="s">
        <v>133</v>
      </c>
      <c r="K1666" t="s">
        <v>5012</v>
      </c>
      <c r="O1666" t="s">
        <v>161</v>
      </c>
    </row>
    <row r="1667" spans="1:20" x14ac:dyDescent="0.2">
      <c r="A1667" t="s">
        <v>5013</v>
      </c>
      <c r="B1667" t="s">
        <v>5014</v>
      </c>
      <c r="C1667" t="s">
        <v>5015</v>
      </c>
      <c r="D1667" t="s">
        <v>24</v>
      </c>
      <c r="E1667" t="s">
        <v>133</v>
      </c>
      <c r="F1667" t="s">
        <v>133</v>
      </c>
      <c r="G1667" t="s">
        <v>133</v>
      </c>
      <c r="H1667" t="s">
        <v>133</v>
      </c>
      <c r="I1667" t="s">
        <v>133</v>
      </c>
      <c r="O1667" t="s">
        <v>511</v>
      </c>
      <c r="Q1667" t="s">
        <v>5016</v>
      </c>
      <c r="R1667" t="s">
        <v>1680</v>
      </c>
      <c r="S1667" t="s">
        <v>1658</v>
      </c>
      <c r="T1667" t="s">
        <v>1663</v>
      </c>
    </row>
    <row r="1668" spans="1:20" x14ac:dyDescent="0.2">
      <c r="A1668" t="s">
        <v>5017</v>
      </c>
      <c r="B1668" t="s">
        <v>5018</v>
      </c>
      <c r="C1668" t="s">
        <v>5019</v>
      </c>
      <c r="D1668" t="s">
        <v>14</v>
      </c>
      <c r="E1668" t="s">
        <v>133</v>
      </c>
      <c r="F1668" t="s">
        <v>133</v>
      </c>
      <c r="G1668" t="s">
        <v>133</v>
      </c>
      <c r="H1668" t="s">
        <v>133</v>
      </c>
      <c r="I1668" t="s">
        <v>133</v>
      </c>
      <c r="K1668" t="s">
        <v>5020</v>
      </c>
      <c r="O1668" t="s">
        <v>161</v>
      </c>
    </row>
    <row r="1669" spans="1:20" x14ac:dyDescent="0.2">
      <c r="A1669" t="s">
        <v>5021</v>
      </c>
      <c r="B1669" t="s">
        <v>5022</v>
      </c>
      <c r="C1669" t="s">
        <v>5023</v>
      </c>
      <c r="D1669" t="s">
        <v>35</v>
      </c>
      <c r="E1669" t="s">
        <v>505</v>
      </c>
      <c r="F1669" t="s">
        <v>133</v>
      </c>
      <c r="G1669" t="s">
        <v>133</v>
      </c>
      <c r="H1669" t="s">
        <v>4818</v>
      </c>
      <c r="I1669" t="s">
        <v>133</v>
      </c>
      <c r="O1669" t="s">
        <v>511</v>
      </c>
      <c r="Q1669" t="s">
        <v>5024</v>
      </c>
      <c r="R1669" t="s">
        <v>1682</v>
      </c>
      <c r="S1669" t="s">
        <v>1683</v>
      </c>
      <c r="T1669" t="s">
        <v>1663</v>
      </c>
    </row>
    <row r="1670" spans="1:20" x14ac:dyDescent="0.2">
      <c r="A1670" t="s">
        <v>5021</v>
      </c>
      <c r="B1670" t="s">
        <v>5022</v>
      </c>
      <c r="C1670" t="s">
        <v>5023</v>
      </c>
      <c r="D1670" t="s">
        <v>35</v>
      </c>
      <c r="E1670" t="s">
        <v>505</v>
      </c>
      <c r="F1670" t="s">
        <v>133</v>
      </c>
      <c r="G1670" t="s">
        <v>133</v>
      </c>
      <c r="H1670" t="s">
        <v>1684</v>
      </c>
      <c r="I1670" t="s">
        <v>133</v>
      </c>
      <c r="O1670" t="s">
        <v>511</v>
      </c>
      <c r="Q1670" t="s">
        <v>5024</v>
      </c>
      <c r="R1670" t="s">
        <v>1685</v>
      </c>
      <c r="S1670" t="s">
        <v>1686</v>
      </c>
      <c r="T1670" t="s">
        <v>1663</v>
      </c>
    </row>
    <row r="1671" spans="1:20" x14ac:dyDescent="0.2">
      <c r="A1671" t="s">
        <v>5021</v>
      </c>
      <c r="B1671" t="s">
        <v>5022</v>
      </c>
      <c r="C1671" t="s">
        <v>5023</v>
      </c>
      <c r="D1671" t="s">
        <v>14</v>
      </c>
      <c r="E1671" t="s">
        <v>255</v>
      </c>
      <c r="F1671" t="s">
        <v>133</v>
      </c>
      <c r="G1671" t="s">
        <v>133</v>
      </c>
      <c r="H1671" t="s">
        <v>133</v>
      </c>
      <c r="I1671" t="s">
        <v>133</v>
      </c>
      <c r="K1671" t="s">
        <v>5025</v>
      </c>
      <c r="O1671" t="s">
        <v>511</v>
      </c>
      <c r="Q1671" t="s">
        <v>5024</v>
      </c>
    </row>
    <row r="1672" spans="1:20" x14ac:dyDescent="0.2">
      <c r="A1672" t="s">
        <v>5026</v>
      </c>
      <c r="B1672" t="s">
        <v>5027</v>
      </c>
      <c r="C1672" t="s">
        <v>5028</v>
      </c>
      <c r="D1672" t="s">
        <v>14</v>
      </c>
      <c r="E1672" t="s">
        <v>133</v>
      </c>
      <c r="H1672" t="s">
        <v>133</v>
      </c>
      <c r="K1672" t="s">
        <v>5029</v>
      </c>
      <c r="L1672" t="s">
        <v>160</v>
      </c>
      <c r="O1672" t="s">
        <v>161</v>
      </c>
    </row>
    <row r="1673" spans="1:20" x14ac:dyDescent="0.2">
      <c r="A1673" t="s">
        <v>5030</v>
      </c>
      <c r="B1673" t="s">
        <v>5031</v>
      </c>
      <c r="C1673" t="s">
        <v>5032</v>
      </c>
      <c r="D1673" t="s">
        <v>14</v>
      </c>
      <c r="E1673" t="s">
        <v>133</v>
      </c>
      <c r="F1673" t="s">
        <v>133</v>
      </c>
      <c r="G1673" t="s">
        <v>133</v>
      </c>
      <c r="H1673" t="s">
        <v>4219</v>
      </c>
      <c r="I1673" t="s">
        <v>133</v>
      </c>
      <c r="K1673" t="s">
        <v>5033</v>
      </c>
      <c r="O1673" t="s">
        <v>161</v>
      </c>
    </row>
    <row r="1674" spans="1:20" x14ac:dyDescent="0.2">
      <c r="A1674" t="s">
        <v>5034</v>
      </c>
      <c r="B1674" t="s">
        <v>4999</v>
      </c>
      <c r="C1674" t="s">
        <v>5033</v>
      </c>
      <c r="D1674" t="s">
        <v>35</v>
      </c>
      <c r="E1674" t="s">
        <v>133</v>
      </c>
      <c r="F1674" t="s">
        <v>133</v>
      </c>
      <c r="G1674" t="s">
        <v>133</v>
      </c>
      <c r="H1674" t="s">
        <v>133</v>
      </c>
      <c r="I1674" t="s">
        <v>133</v>
      </c>
      <c r="M1674" t="s">
        <v>291</v>
      </c>
      <c r="O1674" t="s">
        <v>161</v>
      </c>
      <c r="T1674" t="s">
        <v>1663</v>
      </c>
    </row>
    <row r="1675" spans="1:20" x14ac:dyDescent="0.2">
      <c r="A1675" t="s">
        <v>5035</v>
      </c>
      <c r="B1675" t="s">
        <v>5036</v>
      </c>
      <c r="C1675" t="s">
        <v>5037</v>
      </c>
      <c r="D1675" t="s">
        <v>14</v>
      </c>
      <c r="E1675" t="s">
        <v>133</v>
      </c>
      <c r="H1675" t="s">
        <v>133</v>
      </c>
      <c r="K1675" t="s">
        <v>5038</v>
      </c>
      <c r="L1675" t="s">
        <v>160</v>
      </c>
      <c r="O1675" t="s">
        <v>161</v>
      </c>
    </row>
    <row r="1676" spans="1:20" x14ac:dyDescent="0.2">
      <c r="A1676" t="s">
        <v>5039</v>
      </c>
      <c r="B1676" t="s">
        <v>5040</v>
      </c>
      <c r="C1676" t="s">
        <v>5041</v>
      </c>
      <c r="D1676" t="s">
        <v>14</v>
      </c>
      <c r="E1676" t="s">
        <v>133</v>
      </c>
      <c r="F1676" t="s">
        <v>133</v>
      </c>
      <c r="G1676" t="s">
        <v>133</v>
      </c>
      <c r="H1676" t="s">
        <v>133</v>
      </c>
      <c r="I1676" t="s">
        <v>133</v>
      </c>
      <c r="K1676" t="s">
        <v>5042</v>
      </c>
      <c r="O1676" t="s">
        <v>161</v>
      </c>
    </row>
    <row r="1677" spans="1:20" x14ac:dyDescent="0.2">
      <c r="A1677" t="s">
        <v>5043</v>
      </c>
      <c r="B1677" t="s">
        <v>5044</v>
      </c>
      <c r="C1677" t="s">
        <v>5045</v>
      </c>
      <c r="D1677" t="s">
        <v>14</v>
      </c>
      <c r="E1677" t="s">
        <v>133</v>
      </c>
      <c r="F1677" t="s">
        <v>133</v>
      </c>
      <c r="G1677" t="s">
        <v>133</v>
      </c>
      <c r="H1677" t="s">
        <v>133</v>
      </c>
      <c r="I1677" t="s">
        <v>133</v>
      </c>
      <c r="K1677" t="s">
        <v>5046</v>
      </c>
      <c r="O1677" t="s">
        <v>161</v>
      </c>
    </row>
    <row r="1678" spans="1:20" x14ac:dyDescent="0.2">
      <c r="A1678" t="s">
        <v>5047</v>
      </c>
      <c r="B1678" t="s">
        <v>5048</v>
      </c>
      <c r="C1678" t="s">
        <v>5049</v>
      </c>
      <c r="D1678" t="s">
        <v>24</v>
      </c>
      <c r="E1678" t="s">
        <v>133</v>
      </c>
      <c r="O1678" t="s">
        <v>511</v>
      </c>
      <c r="Q1678" t="s">
        <v>5050</v>
      </c>
      <c r="R1678" t="s">
        <v>4851</v>
      </c>
      <c r="S1678" t="s">
        <v>4852</v>
      </c>
      <c r="T1678" t="s">
        <v>1663</v>
      </c>
    </row>
    <row r="1679" spans="1:20" x14ac:dyDescent="0.2">
      <c r="A1679" t="s">
        <v>5051</v>
      </c>
      <c r="B1679" t="s">
        <v>5052</v>
      </c>
      <c r="C1679" t="s">
        <v>5053</v>
      </c>
      <c r="D1679" t="s">
        <v>14</v>
      </c>
      <c r="E1679" t="s">
        <v>133</v>
      </c>
      <c r="F1679" t="s">
        <v>133</v>
      </c>
      <c r="G1679" t="s">
        <v>133</v>
      </c>
      <c r="H1679" t="s">
        <v>133</v>
      </c>
      <c r="I1679" t="s">
        <v>133</v>
      </c>
      <c r="K1679" t="s">
        <v>5054</v>
      </c>
      <c r="O1679" t="s">
        <v>161</v>
      </c>
    </row>
    <row r="1680" spans="1:20" x14ac:dyDescent="0.2">
      <c r="A1680" t="s">
        <v>5055</v>
      </c>
      <c r="B1680" t="s">
        <v>5056</v>
      </c>
      <c r="C1680" t="s">
        <v>5057</v>
      </c>
      <c r="D1680" t="s">
        <v>24</v>
      </c>
      <c r="E1680" t="s">
        <v>133</v>
      </c>
      <c r="F1680" t="s">
        <v>133</v>
      </c>
      <c r="G1680" t="s">
        <v>133</v>
      </c>
      <c r="H1680" t="s">
        <v>133</v>
      </c>
      <c r="I1680" t="s">
        <v>133</v>
      </c>
      <c r="O1680" t="s">
        <v>161</v>
      </c>
      <c r="Q1680" t="s">
        <v>5058</v>
      </c>
      <c r="R1680" t="s">
        <v>4851</v>
      </c>
      <c r="S1680" t="s">
        <v>4852</v>
      </c>
      <c r="T1680" t="s">
        <v>1663</v>
      </c>
    </row>
    <row r="1681" spans="1:20" x14ac:dyDescent="0.2">
      <c r="A1681" t="s">
        <v>5059</v>
      </c>
      <c r="B1681" t="s">
        <v>5060</v>
      </c>
      <c r="C1681" t="s">
        <v>5061</v>
      </c>
      <c r="D1681" t="s">
        <v>24</v>
      </c>
      <c r="E1681" t="s">
        <v>133</v>
      </c>
      <c r="F1681" t="s">
        <v>133</v>
      </c>
      <c r="G1681" t="s">
        <v>133</v>
      </c>
      <c r="H1681" t="s">
        <v>133</v>
      </c>
      <c r="I1681" t="s">
        <v>133</v>
      </c>
      <c r="O1681" t="s">
        <v>161</v>
      </c>
      <c r="Q1681" t="s">
        <v>5062</v>
      </c>
      <c r="R1681" t="s">
        <v>4851</v>
      </c>
      <c r="S1681" t="s">
        <v>4852</v>
      </c>
      <c r="T1681" t="s">
        <v>1663</v>
      </c>
    </row>
    <row r="1682" spans="1:20" x14ac:dyDescent="0.2">
      <c r="A1682" t="s">
        <v>5063</v>
      </c>
      <c r="B1682" t="s">
        <v>5064</v>
      </c>
      <c r="C1682" t="s">
        <v>5065</v>
      </c>
      <c r="D1682" t="s">
        <v>24</v>
      </c>
      <c r="E1682" t="s">
        <v>133</v>
      </c>
      <c r="F1682" t="s">
        <v>133</v>
      </c>
      <c r="G1682" t="s">
        <v>133</v>
      </c>
      <c r="H1682" t="s">
        <v>133</v>
      </c>
      <c r="I1682" t="s">
        <v>133</v>
      </c>
      <c r="O1682" t="s">
        <v>161</v>
      </c>
      <c r="R1682" t="s">
        <v>1677</v>
      </c>
      <c r="S1682" t="s">
        <v>1678</v>
      </c>
      <c r="T1682" t="s">
        <v>1663</v>
      </c>
    </row>
    <row r="1683" spans="1:20" x14ac:dyDescent="0.2">
      <c r="A1683" t="s">
        <v>5066</v>
      </c>
      <c r="B1683" t="s">
        <v>5067</v>
      </c>
      <c r="C1683" t="s">
        <v>5068</v>
      </c>
      <c r="D1683" t="s">
        <v>24</v>
      </c>
      <c r="E1683" t="s">
        <v>133</v>
      </c>
      <c r="F1683" t="s">
        <v>133</v>
      </c>
      <c r="G1683" t="s">
        <v>133</v>
      </c>
      <c r="H1683" t="s">
        <v>133</v>
      </c>
      <c r="I1683" t="s">
        <v>133</v>
      </c>
      <c r="O1683" t="s">
        <v>161</v>
      </c>
      <c r="R1683" t="s">
        <v>1677</v>
      </c>
      <c r="S1683" t="s">
        <v>1678</v>
      </c>
      <c r="T1683" t="s">
        <v>1663</v>
      </c>
    </row>
    <row r="1684" spans="1:20" x14ac:dyDescent="0.2">
      <c r="A1684" t="s">
        <v>5069</v>
      </c>
      <c r="B1684" t="s">
        <v>5070</v>
      </c>
      <c r="C1684" t="s">
        <v>5071</v>
      </c>
      <c r="D1684" t="s">
        <v>24</v>
      </c>
      <c r="E1684" t="s">
        <v>505</v>
      </c>
      <c r="F1684" t="s">
        <v>133</v>
      </c>
      <c r="G1684" t="s">
        <v>133</v>
      </c>
      <c r="H1684" t="s">
        <v>133</v>
      </c>
      <c r="I1684" t="s">
        <v>133</v>
      </c>
      <c r="O1684" t="s">
        <v>161</v>
      </c>
      <c r="R1684" t="s">
        <v>1219</v>
      </c>
      <c r="S1684" t="s">
        <v>1220</v>
      </c>
      <c r="T1684" t="s">
        <v>1663</v>
      </c>
    </row>
    <row r="1685" spans="1:20" x14ac:dyDescent="0.2">
      <c r="A1685" t="s">
        <v>5069</v>
      </c>
      <c r="B1685" t="s">
        <v>5070</v>
      </c>
      <c r="C1685" t="s">
        <v>5071</v>
      </c>
      <c r="D1685" t="s">
        <v>14</v>
      </c>
      <c r="E1685" t="s">
        <v>255</v>
      </c>
      <c r="F1685" t="s">
        <v>133</v>
      </c>
      <c r="G1685" t="s">
        <v>133</v>
      </c>
      <c r="H1685" t="s">
        <v>133</v>
      </c>
      <c r="I1685" t="s">
        <v>133</v>
      </c>
      <c r="K1685" t="s">
        <v>5033</v>
      </c>
      <c r="O1685" t="s">
        <v>161</v>
      </c>
    </row>
    <row r="1686" spans="1:20" x14ac:dyDescent="0.2">
      <c r="A1686" t="s">
        <v>5072</v>
      </c>
      <c r="B1686" t="s">
        <v>5073</v>
      </c>
      <c r="C1686" t="s">
        <v>5074</v>
      </c>
      <c r="D1686" t="s">
        <v>14</v>
      </c>
      <c r="E1686" t="s">
        <v>133</v>
      </c>
      <c r="F1686" t="s">
        <v>133</v>
      </c>
      <c r="G1686" t="s">
        <v>133</v>
      </c>
      <c r="H1686" t="s">
        <v>133</v>
      </c>
      <c r="I1686" t="s">
        <v>133</v>
      </c>
      <c r="K1686" t="s">
        <v>5075</v>
      </c>
      <c r="O1686" t="s">
        <v>161</v>
      </c>
    </row>
    <row r="1687" spans="1:20" x14ac:dyDescent="0.2">
      <c r="A1687" t="s">
        <v>5076</v>
      </c>
      <c r="B1687" t="s">
        <v>5077</v>
      </c>
      <c r="C1687" t="s">
        <v>5078</v>
      </c>
      <c r="D1687" t="s">
        <v>14</v>
      </c>
      <c r="E1687" t="s">
        <v>133</v>
      </c>
      <c r="F1687" t="s">
        <v>133</v>
      </c>
      <c r="G1687" t="s">
        <v>133</v>
      </c>
      <c r="H1687" t="s">
        <v>133</v>
      </c>
      <c r="I1687" t="s">
        <v>133</v>
      </c>
      <c r="K1687" t="s">
        <v>5079</v>
      </c>
      <c r="O1687" t="s">
        <v>161</v>
      </c>
    </row>
    <row r="1688" spans="1:20" x14ac:dyDescent="0.2">
      <c r="A1688" t="s">
        <v>5080</v>
      </c>
      <c r="B1688" t="s">
        <v>5081</v>
      </c>
      <c r="C1688" t="s">
        <v>5082</v>
      </c>
      <c r="D1688" t="s">
        <v>14</v>
      </c>
      <c r="E1688" t="s">
        <v>133</v>
      </c>
      <c r="F1688" t="s">
        <v>133</v>
      </c>
      <c r="G1688" t="s">
        <v>133</v>
      </c>
      <c r="H1688" t="s">
        <v>133</v>
      </c>
      <c r="I1688" t="s">
        <v>133</v>
      </c>
      <c r="K1688" t="s">
        <v>5083</v>
      </c>
      <c r="O1688" t="s">
        <v>161</v>
      </c>
    </row>
    <row r="1689" spans="1:20" x14ac:dyDescent="0.2">
      <c r="A1689" t="s">
        <v>5084</v>
      </c>
      <c r="B1689" t="s">
        <v>5085</v>
      </c>
      <c r="C1689" t="s">
        <v>5086</v>
      </c>
      <c r="D1689" t="s">
        <v>24</v>
      </c>
      <c r="E1689" t="s">
        <v>133</v>
      </c>
      <c r="O1689" t="s">
        <v>511</v>
      </c>
      <c r="Q1689" t="s">
        <v>5087</v>
      </c>
      <c r="R1689" t="s">
        <v>1680</v>
      </c>
      <c r="S1689" t="s">
        <v>1658</v>
      </c>
      <c r="T1689" t="s">
        <v>1663</v>
      </c>
    </row>
    <row r="1690" spans="1:20" x14ac:dyDescent="0.2">
      <c r="A1690" t="s">
        <v>5088</v>
      </c>
      <c r="B1690" t="s">
        <v>5089</v>
      </c>
      <c r="C1690" t="s">
        <v>5090</v>
      </c>
      <c r="D1690" t="s">
        <v>14</v>
      </c>
      <c r="E1690" t="s">
        <v>133</v>
      </c>
      <c r="F1690" t="s">
        <v>133</v>
      </c>
      <c r="G1690" t="s">
        <v>133</v>
      </c>
      <c r="H1690" t="s">
        <v>133</v>
      </c>
      <c r="I1690" t="s">
        <v>133</v>
      </c>
      <c r="K1690" t="s">
        <v>5091</v>
      </c>
      <c r="O1690" t="s">
        <v>161</v>
      </c>
    </row>
    <row r="1691" spans="1:20" x14ac:dyDescent="0.2">
      <c r="A1691" t="s">
        <v>5092</v>
      </c>
      <c r="B1691" t="s">
        <v>5093</v>
      </c>
      <c r="C1691" t="s">
        <v>5094</v>
      </c>
      <c r="D1691" t="s">
        <v>24</v>
      </c>
      <c r="E1691" t="s">
        <v>133</v>
      </c>
      <c r="F1691" t="s">
        <v>133</v>
      </c>
      <c r="G1691" t="s">
        <v>133</v>
      </c>
      <c r="H1691" t="s">
        <v>133</v>
      </c>
      <c r="I1691" t="s">
        <v>133</v>
      </c>
      <c r="O1691" t="s">
        <v>511</v>
      </c>
      <c r="Q1691" t="s">
        <v>5095</v>
      </c>
      <c r="R1691" t="s">
        <v>1680</v>
      </c>
      <c r="S1691" t="s">
        <v>1658</v>
      </c>
      <c r="T1691" t="s">
        <v>1663</v>
      </c>
    </row>
    <row r="1692" spans="1:20" x14ac:dyDescent="0.2">
      <c r="A1692" t="s">
        <v>5096</v>
      </c>
      <c r="B1692" t="s">
        <v>5097</v>
      </c>
      <c r="C1692" t="s">
        <v>5098</v>
      </c>
      <c r="D1692" t="s">
        <v>14</v>
      </c>
      <c r="E1692" t="s">
        <v>133</v>
      </c>
      <c r="F1692" t="s">
        <v>133</v>
      </c>
      <c r="G1692" t="s">
        <v>133</v>
      </c>
      <c r="H1692" t="s">
        <v>133</v>
      </c>
      <c r="I1692" t="s">
        <v>133</v>
      </c>
      <c r="K1692" t="s">
        <v>5099</v>
      </c>
      <c r="O1692" t="s">
        <v>161</v>
      </c>
    </row>
    <row r="1693" spans="1:20" x14ac:dyDescent="0.2">
      <c r="A1693" t="s">
        <v>5100</v>
      </c>
      <c r="B1693" t="s">
        <v>5101</v>
      </c>
      <c r="C1693" t="s">
        <v>5102</v>
      </c>
      <c r="D1693" t="s">
        <v>24</v>
      </c>
      <c r="E1693" t="s">
        <v>133</v>
      </c>
      <c r="O1693" t="s">
        <v>511</v>
      </c>
      <c r="Q1693" t="s">
        <v>5103</v>
      </c>
      <c r="R1693" t="s">
        <v>1680</v>
      </c>
      <c r="S1693" t="s">
        <v>1658</v>
      </c>
      <c r="T1693" t="s">
        <v>1663</v>
      </c>
    </row>
    <row r="1694" spans="1:20" x14ac:dyDescent="0.2">
      <c r="A1694" t="s">
        <v>5104</v>
      </c>
      <c r="B1694" t="s">
        <v>5105</v>
      </c>
      <c r="C1694" t="s">
        <v>5106</v>
      </c>
      <c r="D1694" t="s">
        <v>14</v>
      </c>
      <c r="E1694" t="s">
        <v>133</v>
      </c>
      <c r="F1694" t="s">
        <v>133</v>
      </c>
      <c r="G1694" t="s">
        <v>133</v>
      </c>
      <c r="H1694" t="s">
        <v>133</v>
      </c>
      <c r="I1694" t="s">
        <v>133</v>
      </c>
      <c r="K1694" t="s">
        <v>5107</v>
      </c>
      <c r="O1694" t="s">
        <v>161</v>
      </c>
    </row>
    <row r="1695" spans="1:20" x14ac:dyDescent="0.2">
      <c r="A1695" t="s">
        <v>5108</v>
      </c>
      <c r="B1695" t="s">
        <v>5109</v>
      </c>
      <c r="C1695" t="s">
        <v>5110</v>
      </c>
      <c r="D1695" t="s">
        <v>24</v>
      </c>
      <c r="E1695" t="s">
        <v>133</v>
      </c>
      <c r="F1695" t="s">
        <v>133</v>
      </c>
      <c r="G1695" t="s">
        <v>133</v>
      </c>
      <c r="H1695" t="s">
        <v>133</v>
      </c>
      <c r="I1695" t="s">
        <v>133</v>
      </c>
      <c r="O1695" t="s">
        <v>511</v>
      </c>
      <c r="Q1695" t="s">
        <v>5111</v>
      </c>
      <c r="R1695" t="s">
        <v>1680</v>
      </c>
      <c r="S1695" t="s">
        <v>1658</v>
      </c>
      <c r="T1695" t="s">
        <v>1663</v>
      </c>
    </row>
    <row r="1696" spans="1:20" x14ac:dyDescent="0.2">
      <c r="A1696" t="s">
        <v>5112</v>
      </c>
      <c r="B1696" t="s">
        <v>5113</v>
      </c>
      <c r="C1696" t="s">
        <v>5114</v>
      </c>
      <c r="D1696" t="s">
        <v>14</v>
      </c>
      <c r="E1696" t="s">
        <v>133</v>
      </c>
      <c r="F1696" t="s">
        <v>133</v>
      </c>
      <c r="G1696" t="s">
        <v>133</v>
      </c>
      <c r="H1696" t="s">
        <v>133</v>
      </c>
      <c r="I1696" t="s">
        <v>133</v>
      </c>
      <c r="K1696" t="s">
        <v>5115</v>
      </c>
      <c r="O1696" t="s">
        <v>161</v>
      </c>
    </row>
    <row r="1697" spans="1:20" x14ac:dyDescent="0.2">
      <c r="A1697" t="s">
        <v>5116</v>
      </c>
      <c r="B1697" t="s">
        <v>5117</v>
      </c>
      <c r="C1697" t="s">
        <v>5118</v>
      </c>
      <c r="D1697" t="s">
        <v>24</v>
      </c>
      <c r="E1697" t="s">
        <v>133</v>
      </c>
      <c r="O1697" t="s">
        <v>511</v>
      </c>
      <c r="Q1697" t="s">
        <v>5119</v>
      </c>
      <c r="R1697" t="s">
        <v>1680</v>
      </c>
      <c r="S1697" t="s">
        <v>1658</v>
      </c>
      <c r="T1697" t="s">
        <v>1663</v>
      </c>
    </row>
    <row r="1698" spans="1:20" x14ac:dyDescent="0.2">
      <c r="A1698" t="s">
        <v>5120</v>
      </c>
      <c r="B1698" t="s">
        <v>5121</v>
      </c>
      <c r="C1698" t="s">
        <v>5122</v>
      </c>
      <c r="D1698" t="s">
        <v>14</v>
      </c>
      <c r="E1698" t="s">
        <v>133</v>
      </c>
      <c r="F1698" t="s">
        <v>133</v>
      </c>
      <c r="G1698" t="s">
        <v>133</v>
      </c>
      <c r="H1698" t="s">
        <v>133</v>
      </c>
      <c r="I1698" t="s">
        <v>133</v>
      </c>
      <c r="K1698" t="s">
        <v>5123</v>
      </c>
      <c r="O1698" t="s">
        <v>161</v>
      </c>
    </row>
    <row r="1699" spans="1:20" x14ac:dyDescent="0.2">
      <c r="A1699" t="s">
        <v>5124</v>
      </c>
      <c r="B1699" t="s">
        <v>5125</v>
      </c>
      <c r="C1699" t="s">
        <v>5126</v>
      </c>
      <c r="D1699" t="s">
        <v>24</v>
      </c>
      <c r="E1699" t="s">
        <v>133</v>
      </c>
      <c r="F1699" t="s">
        <v>133</v>
      </c>
      <c r="G1699" t="s">
        <v>133</v>
      </c>
      <c r="H1699" t="s">
        <v>133</v>
      </c>
      <c r="I1699" t="s">
        <v>133</v>
      </c>
      <c r="O1699" t="s">
        <v>511</v>
      </c>
      <c r="Q1699" t="s">
        <v>5127</v>
      </c>
      <c r="R1699" t="s">
        <v>1680</v>
      </c>
      <c r="S1699" t="s">
        <v>1658</v>
      </c>
      <c r="T1699" t="s">
        <v>1663</v>
      </c>
    </row>
    <row r="1700" spans="1:20" x14ac:dyDescent="0.2">
      <c r="A1700" t="s">
        <v>5128</v>
      </c>
      <c r="B1700" t="s">
        <v>5129</v>
      </c>
      <c r="C1700" t="s">
        <v>5130</v>
      </c>
      <c r="D1700" t="s">
        <v>14</v>
      </c>
      <c r="E1700" t="s">
        <v>133</v>
      </c>
      <c r="F1700" t="s">
        <v>133</v>
      </c>
      <c r="G1700" t="s">
        <v>133</v>
      </c>
      <c r="H1700" t="s">
        <v>133</v>
      </c>
      <c r="I1700" t="s">
        <v>133</v>
      </c>
      <c r="K1700" t="s">
        <v>5131</v>
      </c>
      <c r="O1700" t="s">
        <v>161</v>
      </c>
    </row>
    <row r="1701" spans="1:20" x14ac:dyDescent="0.2">
      <c r="A1701" t="s">
        <v>5132</v>
      </c>
      <c r="B1701" t="s">
        <v>5133</v>
      </c>
      <c r="C1701" t="s">
        <v>5134</v>
      </c>
      <c r="D1701" t="s">
        <v>24</v>
      </c>
      <c r="E1701" t="s">
        <v>133</v>
      </c>
      <c r="O1701" t="s">
        <v>511</v>
      </c>
      <c r="Q1701" t="s">
        <v>5135</v>
      </c>
      <c r="R1701" t="s">
        <v>1004</v>
      </c>
      <c r="S1701" t="s">
        <v>1005</v>
      </c>
      <c r="T1701" t="s">
        <v>1663</v>
      </c>
    </row>
    <row r="1702" spans="1:20" x14ac:dyDescent="0.2">
      <c r="A1702" t="s">
        <v>5136</v>
      </c>
      <c r="B1702" t="s">
        <v>5137</v>
      </c>
      <c r="C1702" t="s">
        <v>5138</v>
      </c>
      <c r="D1702" t="s">
        <v>14</v>
      </c>
      <c r="E1702" t="s">
        <v>133</v>
      </c>
      <c r="F1702" t="s">
        <v>133</v>
      </c>
      <c r="G1702" t="s">
        <v>133</v>
      </c>
      <c r="H1702" t="s">
        <v>133</v>
      </c>
      <c r="I1702" t="s">
        <v>133</v>
      </c>
      <c r="K1702" t="s">
        <v>5139</v>
      </c>
      <c r="O1702" t="s">
        <v>161</v>
      </c>
    </row>
    <row r="1703" spans="1:20" x14ac:dyDescent="0.2">
      <c r="A1703" t="s">
        <v>5140</v>
      </c>
      <c r="B1703" t="s">
        <v>5141</v>
      </c>
      <c r="C1703" t="s">
        <v>5142</v>
      </c>
      <c r="D1703" t="s">
        <v>24</v>
      </c>
      <c r="E1703" t="s">
        <v>133</v>
      </c>
      <c r="F1703" t="s">
        <v>133</v>
      </c>
      <c r="G1703" t="s">
        <v>133</v>
      </c>
      <c r="H1703" t="s">
        <v>133</v>
      </c>
      <c r="I1703" t="s">
        <v>133</v>
      </c>
      <c r="O1703" t="s">
        <v>511</v>
      </c>
      <c r="Q1703" t="s">
        <v>5143</v>
      </c>
      <c r="R1703" t="s">
        <v>1004</v>
      </c>
      <c r="S1703" t="s">
        <v>1005</v>
      </c>
      <c r="T1703" t="s">
        <v>1663</v>
      </c>
    </row>
    <row r="1704" spans="1:20" x14ac:dyDescent="0.2">
      <c r="A1704" t="s">
        <v>5144</v>
      </c>
      <c r="B1704" t="s">
        <v>5145</v>
      </c>
      <c r="C1704" t="s">
        <v>5146</v>
      </c>
      <c r="D1704" t="s">
        <v>14</v>
      </c>
      <c r="E1704" t="s">
        <v>133</v>
      </c>
      <c r="F1704" t="s">
        <v>133</v>
      </c>
      <c r="G1704" t="s">
        <v>133</v>
      </c>
      <c r="H1704" t="s">
        <v>133</v>
      </c>
      <c r="I1704" t="s">
        <v>133</v>
      </c>
      <c r="K1704" t="s">
        <v>5147</v>
      </c>
      <c r="O1704" t="s">
        <v>161</v>
      </c>
    </row>
    <row r="1705" spans="1:20" x14ac:dyDescent="0.2">
      <c r="A1705" t="s">
        <v>5148</v>
      </c>
      <c r="B1705" t="s">
        <v>5149</v>
      </c>
      <c r="C1705" t="s">
        <v>5150</v>
      </c>
      <c r="D1705" t="s">
        <v>24</v>
      </c>
      <c r="E1705" t="s">
        <v>133</v>
      </c>
      <c r="O1705" t="s">
        <v>511</v>
      </c>
      <c r="Q1705" t="s">
        <v>5151</v>
      </c>
      <c r="R1705" t="s">
        <v>1689</v>
      </c>
      <c r="S1705" t="s">
        <v>1690</v>
      </c>
      <c r="T1705" t="s">
        <v>1663</v>
      </c>
    </row>
    <row r="1706" spans="1:20" x14ac:dyDescent="0.2">
      <c r="A1706" t="s">
        <v>5152</v>
      </c>
      <c r="B1706" t="s">
        <v>5153</v>
      </c>
      <c r="C1706" t="s">
        <v>5154</v>
      </c>
      <c r="D1706" t="s">
        <v>14</v>
      </c>
      <c r="E1706" t="s">
        <v>133</v>
      </c>
      <c r="F1706" t="s">
        <v>133</v>
      </c>
      <c r="G1706" t="s">
        <v>133</v>
      </c>
      <c r="H1706" t="s">
        <v>133</v>
      </c>
      <c r="I1706" t="s">
        <v>133</v>
      </c>
      <c r="K1706" t="s">
        <v>5155</v>
      </c>
      <c r="O1706" t="s">
        <v>161</v>
      </c>
    </row>
    <row r="1707" spans="1:20" x14ac:dyDescent="0.2">
      <c r="A1707" t="s">
        <v>5156</v>
      </c>
      <c r="B1707" t="s">
        <v>5157</v>
      </c>
      <c r="C1707" t="s">
        <v>5158</v>
      </c>
      <c r="D1707" t="s">
        <v>24</v>
      </c>
      <c r="E1707" t="s">
        <v>133</v>
      </c>
      <c r="F1707" t="s">
        <v>133</v>
      </c>
      <c r="G1707" t="s">
        <v>133</v>
      </c>
      <c r="H1707" t="s">
        <v>133</v>
      </c>
      <c r="I1707" t="s">
        <v>133</v>
      </c>
      <c r="O1707" t="s">
        <v>511</v>
      </c>
      <c r="Q1707" t="s">
        <v>5159</v>
      </c>
      <c r="R1707" t="s">
        <v>1689</v>
      </c>
      <c r="S1707" t="s">
        <v>1690</v>
      </c>
      <c r="T1707" t="s">
        <v>1663</v>
      </c>
    </row>
    <row r="1708" spans="1:20" x14ac:dyDescent="0.2">
      <c r="A1708" t="s">
        <v>5160</v>
      </c>
      <c r="B1708" t="s">
        <v>5161</v>
      </c>
      <c r="C1708" t="s">
        <v>5162</v>
      </c>
      <c r="D1708" t="s">
        <v>14</v>
      </c>
      <c r="E1708" t="s">
        <v>133</v>
      </c>
      <c r="F1708" t="s">
        <v>133</v>
      </c>
      <c r="G1708" t="s">
        <v>133</v>
      </c>
      <c r="H1708" t="s">
        <v>133</v>
      </c>
      <c r="I1708" t="s">
        <v>133</v>
      </c>
      <c r="K1708" t="s">
        <v>5163</v>
      </c>
      <c r="O1708" t="s">
        <v>161</v>
      </c>
    </row>
    <row r="1709" spans="1:20" x14ac:dyDescent="0.2">
      <c r="A1709" t="s">
        <v>5164</v>
      </c>
      <c r="B1709" t="s">
        <v>5165</v>
      </c>
      <c r="C1709" t="s">
        <v>5166</v>
      </c>
      <c r="D1709" t="s">
        <v>24</v>
      </c>
      <c r="E1709" t="s">
        <v>133</v>
      </c>
      <c r="O1709" t="s">
        <v>511</v>
      </c>
      <c r="Q1709" t="s">
        <v>5167</v>
      </c>
      <c r="R1709" t="s">
        <v>1680</v>
      </c>
      <c r="S1709" t="s">
        <v>1658</v>
      </c>
      <c r="T1709" t="s">
        <v>1663</v>
      </c>
    </row>
    <row r="1710" spans="1:20" x14ac:dyDescent="0.2">
      <c r="A1710" t="s">
        <v>5168</v>
      </c>
      <c r="B1710" t="s">
        <v>5169</v>
      </c>
      <c r="C1710" t="s">
        <v>5170</v>
      </c>
      <c r="D1710" t="s">
        <v>14</v>
      </c>
      <c r="E1710" t="s">
        <v>133</v>
      </c>
      <c r="F1710" t="s">
        <v>133</v>
      </c>
      <c r="G1710" t="s">
        <v>133</v>
      </c>
      <c r="H1710" t="s">
        <v>133</v>
      </c>
      <c r="I1710" t="s">
        <v>133</v>
      </c>
      <c r="K1710" t="s">
        <v>5171</v>
      </c>
      <c r="O1710" t="s">
        <v>161</v>
      </c>
    </row>
    <row r="1711" spans="1:20" x14ac:dyDescent="0.2">
      <c r="A1711" t="s">
        <v>5172</v>
      </c>
      <c r="B1711" t="s">
        <v>5173</v>
      </c>
      <c r="C1711" t="s">
        <v>5174</v>
      </c>
      <c r="D1711" t="s">
        <v>24</v>
      </c>
      <c r="E1711" t="s">
        <v>133</v>
      </c>
      <c r="F1711" t="s">
        <v>133</v>
      </c>
      <c r="G1711" t="s">
        <v>133</v>
      </c>
      <c r="H1711" t="s">
        <v>133</v>
      </c>
      <c r="I1711" t="s">
        <v>133</v>
      </c>
      <c r="O1711" t="s">
        <v>511</v>
      </c>
      <c r="Q1711" t="s">
        <v>5175</v>
      </c>
      <c r="R1711" t="s">
        <v>1680</v>
      </c>
      <c r="S1711" t="s">
        <v>1658</v>
      </c>
      <c r="T1711" t="s">
        <v>1663</v>
      </c>
    </row>
    <row r="1712" spans="1:20" x14ac:dyDescent="0.2">
      <c r="A1712" t="s">
        <v>5176</v>
      </c>
      <c r="B1712" t="s">
        <v>5177</v>
      </c>
      <c r="C1712" t="s">
        <v>5178</v>
      </c>
      <c r="D1712" t="s">
        <v>14</v>
      </c>
      <c r="E1712" t="s">
        <v>133</v>
      </c>
      <c r="F1712" t="s">
        <v>133</v>
      </c>
      <c r="G1712" t="s">
        <v>133</v>
      </c>
      <c r="H1712" t="s">
        <v>133</v>
      </c>
      <c r="I1712" t="s">
        <v>133</v>
      </c>
      <c r="K1712" t="s">
        <v>5179</v>
      </c>
      <c r="O1712" t="s">
        <v>161</v>
      </c>
    </row>
    <row r="1713" spans="1:20" x14ac:dyDescent="0.2">
      <c r="A1713" t="s">
        <v>5180</v>
      </c>
      <c r="B1713" t="s">
        <v>5181</v>
      </c>
      <c r="C1713" t="s">
        <v>5182</v>
      </c>
      <c r="D1713" t="s">
        <v>35</v>
      </c>
      <c r="E1713" t="s">
        <v>505</v>
      </c>
      <c r="F1713" t="s">
        <v>133</v>
      </c>
      <c r="G1713" t="s">
        <v>133</v>
      </c>
      <c r="H1713" t="s">
        <v>4818</v>
      </c>
      <c r="I1713" t="s">
        <v>133</v>
      </c>
      <c r="O1713" t="s">
        <v>511</v>
      </c>
      <c r="Q1713" t="s">
        <v>5183</v>
      </c>
      <c r="R1713" t="s">
        <v>1682</v>
      </c>
      <c r="S1713" t="s">
        <v>1683</v>
      </c>
      <c r="T1713" t="s">
        <v>1663</v>
      </c>
    </row>
    <row r="1714" spans="1:20" x14ac:dyDescent="0.2">
      <c r="A1714" t="s">
        <v>5180</v>
      </c>
      <c r="B1714" t="s">
        <v>5181</v>
      </c>
      <c r="C1714" t="s">
        <v>5182</v>
      </c>
      <c r="D1714" t="s">
        <v>35</v>
      </c>
      <c r="E1714" t="s">
        <v>505</v>
      </c>
      <c r="F1714" t="s">
        <v>133</v>
      </c>
      <c r="G1714" t="s">
        <v>133</v>
      </c>
      <c r="H1714" t="s">
        <v>1684</v>
      </c>
      <c r="I1714" t="s">
        <v>133</v>
      </c>
      <c r="O1714" t="s">
        <v>511</v>
      </c>
      <c r="Q1714" t="s">
        <v>5183</v>
      </c>
      <c r="R1714" t="s">
        <v>1685</v>
      </c>
      <c r="S1714" t="s">
        <v>1686</v>
      </c>
      <c r="T1714" t="s">
        <v>1663</v>
      </c>
    </row>
    <row r="1715" spans="1:20" x14ac:dyDescent="0.2">
      <c r="A1715" t="s">
        <v>5180</v>
      </c>
      <c r="B1715" t="s">
        <v>5181</v>
      </c>
      <c r="C1715" t="s">
        <v>5182</v>
      </c>
      <c r="D1715" t="s">
        <v>14</v>
      </c>
      <c r="E1715" t="s">
        <v>255</v>
      </c>
      <c r="F1715" t="s">
        <v>133</v>
      </c>
      <c r="G1715" t="s">
        <v>133</v>
      </c>
      <c r="H1715" t="s">
        <v>133</v>
      </c>
      <c r="I1715" t="s">
        <v>133</v>
      </c>
      <c r="K1715" t="s">
        <v>5184</v>
      </c>
      <c r="O1715" t="s">
        <v>511</v>
      </c>
      <c r="Q1715" t="s">
        <v>5183</v>
      </c>
    </row>
    <row r="1716" spans="1:20" x14ac:dyDescent="0.2">
      <c r="A1716" t="s">
        <v>5185</v>
      </c>
      <c r="B1716" t="s">
        <v>5186</v>
      </c>
      <c r="C1716" t="s">
        <v>5187</v>
      </c>
      <c r="D1716" t="s">
        <v>14</v>
      </c>
      <c r="E1716" t="s">
        <v>133</v>
      </c>
      <c r="H1716" t="s">
        <v>133</v>
      </c>
      <c r="K1716" t="s">
        <v>5188</v>
      </c>
      <c r="L1716" t="s">
        <v>160</v>
      </c>
      <c r="O1716" t="s">
        <v>161</v>
      </c>
    </row>
    <row r="1717" spans="1:20" x14ac:dyDescent="0.2">
      <c r="A1717" t="s">
        <v>5189</v>
      </c>
      <c r="B1717" t="s">
        <v>5190</v>
      </c>
      <c r="C1717" t="s">
        <v>5191</v>
      </c>
      <c r="D1717" t="s">
        <v>14</v>
      </c>
      <c r="E1717" t="s">
        <v>133</v>
      </c>
      <c r="F1717" t="s">
        <v>133</v>
      </c>
      <c r="G1717" t="s">
        <v>133</v>
      </c>
      <c r="H1717" t="s">
        <v>4219</v>
      </c>
      <c r="I1717" t="s">
        <v>133</v>
      </c>
      <c r="K1717" t="s">
        <v>5192</v>
      </c>
      <c r="O1717" t="s">
        <v>161</v>
      </c>
    </row>
    <row r="1718" spans="1:20" x14ac:dyDescent="0.2">
      <c r="A1718" t="s">
        <v>5193</v>
      </c>
      <c r="B1718" t="s">
        <v>5194</v>
      </c>
      <c r="C1718" t="s">
        <v>5192</v>
      </c>
      <c r="D1718" t="s">
        <v>24</v>
      </c>
      <c r="E1718" t="s">
        <v>133</v>
      </c>
      <c r="F1718" t="s">
        <v>133</v>
      </c>
      <c r="G1718" t="s">
        <v>133</v>
      </c>
      <c r="H1718" t="s">
        <v>133</v>
      </c>
      <c r="I1718" t="s">
        <v>133</v>
      </c>
      <c r="M1718" t="s">
        <v>291</v>
      </c>
      <c r="O1718" t="s">
        <v>161</v>
      </c>
      <c r="T1718" t="s">
        <v>1663</v>
      </c>
    </row>
    <row r="1719" spans="1:20" x14ac:dyDescent="0.2">
      <c r="A1719" t="s">
        <v>5195</v>
      </c>
      <c r="B1719" t="s">
        <v>5196</v>
      </c>
      <c r="C1719" t="s">
        <v>5197</v>
      </c>
      <c r="D1719" t="s">
        <v>14</v>
      </c>
      <c r="E1719" t="s">
        <v>133</v>
      </c>
      <c r="H1719" t="s">
        <v>133</v>
      </c>
      <c r="K1719" t="s">
        <v>5198</v>
      </c>
      <c r="L1719" t="s">
        <v>160</v>
      </c>
      <c r="O1719" t="s">
        <v>161</v>
      </c>
    </row>
    <row r="1720" spans="1:20" x14ac:dyDescent="0.2">
      <c r="A1720" t="s">
        <v>5199</v>
      </c>
      <c r="B1720" t="s">
        <v>5200</v>
      </c>
      <c r="C1720" t="s">
        <v>5201</v>
      </c>
      <c r="D1720" t="s">
        <v>14</v>
      </c>
      <c r="E1720" t="s">
        <v>133</v>
      </c>
      <c r="F1720" t="s">
        <v>133</v>
      </c>
      <c r="G1720" t="s">
        <v>133</v>
      </c>
      <c r="H1720" t="s">
        <v>133</v>
      </c>
      <c r="I1720" t="s">
        <v>133</v>
      </c>
      <c r="K1720" t="s">
        <v>5202</v>
      </c>
      <c r="O1720" t="s">
        <v>161</v>
      </c>
    </row>
    <row r="1721" spans="1:20" x14ac:dyDescent="0.2">
      <c r="A1721" t="s">
        <v>5203</v>
      </c>
      <c r="B1721" t="s">
        <v>5204</v>
      </c>
      <c r="C1721" t="s">
        <v>5205</v>
      </c>
      <c r="D1721" t="s">
        <v>14</v>
      </c>
      <c r="E1721" t="s">
        <v>133</v>
      </c>
      <c r="F1721" t="s">
        <v>133</v>
      </c>
      <c r="G1721" t="s">
        <v>133</v>
      </c>
      <c r="H1721" t="s">
        <v>133</v>
      </c>
      <c r="I1721" t="s">
        <v>133</v>
      </c>
      <c r="K1721" t="s">
        <v>5206</v>
      </c>
      <c r="O1721" t="s">
        <v>161</v>
      </c>
    </row>
    <row r="1722" spans="1:20" x14ac:dyDescent="0.2">
      <c r="A1722" t="s">
        <v>5207</v>
      </c>
      <c r="B1722" t="s">
        <v>5208</v>
      </c>
      <c r="C1722" t="s">
        <v>5209</v>
      </c>
      <c r="D1722" t="s">
        <v>24</v>
      </c>
      <c r="E1722" t="s">
        <v>133</v>
      </c>
      <c r="O1722" t="s">
        <v>511</v>
      </c>
      <c r="Q1722" t="s">
        <v>5210</v>
      </c>
      <c r="R1722" t="s">
        <v>4851</v>
      </c>
      <c r="S1722" t="s">
        <v>4852</v>
      </c>
      <c r="T1722" t="s">
        <v>1663</v>
      </c>
    </row>
    <row r="1723" spans="1:20" x14ac:dyDescent="0.2">
      <c r="A1723" t="s">
        <v>5211</v>
      </c>
      <c r="B1723" t="s">
        <v>5212</v>
      </c>
      <c r="C1723" t="s">
        <v>5213</v>
      </c>
      <c r="D1723" t="s">
        <v>14</v>
      </c>
      <c r="E1723" t="s">
        <v>133</v>
      </c>
      <c r="F1723" t="s">
        <v>133</v>
      </c>
      <c r="G1723" t="s">
        <v>133</v>
      </c>
      <c r="H1723" t="s">
        <v>133</v>
      </c>
      <c r="I1723" t="s">
        <v>133</v>
      </c>
      <c r="K1723" t="s">
        <v>5214</v>
      </c>
      <c r="O1723" t="s">
        <v>161</v>
      </c>
    </row>
    <row r="1724" spans="1:20" x14ac:dyDescent="0.2">
      <c r="A1724" t="s">
        <v>5215</v>
      </c>
      <c r="B1724" t="s">
        <v>5216</v>
      </c>
      <c r="C1724" t="s">
        <v>5217</v>
      </c>
      <c r="D1724" t="s">
        <v>24</v>
      </c>
      <c r="E1724" t="s">
        <v>133</v>
      </c>
      <c r="F1724" t="s">
        <v>133</v>
      </c>
      <c r="G1724" t="s">
        <v>133</v>
      </c>
      <c r="H1724" t="s">
        <v>133</v>
      </c>
      <c r="I1724" t="s">
        <v>133</v>
      </c>
      <c r="O1724" t="s">
        <v>161</v>
      </c>
      <c r="Q1724" t="s">
        <v>5218</v>
      </c>
      <c r="R1724" t="s">
        <v>1677</v>
      </c>
      <c r="S1724" t="s">
        <v>1678</v>
      </c>
      <c r="T1724" t="s">
        <v>1663</v>
      </c>
    </row>
    <row r="1725" spans="1:20" x14ac:dyDescent="0.2">
      <c r="A1725" t="s">
        <v>5219</v>
      </c>
      <c r="B1725" t="s">
        <v>5220</v>
      </c>
      <c r="C1725" t="s">
        <v>5221</v>
      </c>
      <c r="D1725" t="s">
        <v>24</v>
      </c>
      <c r="E1725" t="s">
        <v>133</v>
      </c>
      <c r="F1725" t="s">
        <v>133</v>
      </c>
      <c r="G1725" t="s">
        <v>133</v>
      </c>
      <c r="H1725" t="s">
        <v>133</v>
      </c>
      <c r="I1725" t="s">
        <v>133</v>
      </c>
      <c r="O1725" t="s">
        <v>161</v>
      </c>
      <c r="R1725" t="s">
        <v>1677</v>
      </c>
      <c r="S1725" t="s">
        <v>1678</v>
      </c>
      <c r="T1725" t="s">
        <v>1663</v>
      </c>
    </row>
    <row r="1726" spans="1:20" x14ac:dyDescent="0.2">
      <c r="A1726" t="s">
        <v>5222</v>
      </c>
      <c r="B1726" t="s">
        <v>5223</v>
      </c>
      <c r="C1726" t="s">
        <v>5224</v>
      </c>
      <c r="D1726" t="s">
        <v>24</v>
      </c>
      <c r="E1726" t="s">
        <v>133</v>
      </c>
      <c r="F1726" t="s">
        <v>133</v>
      </c>
      <c r="G1726" t="s">
        <v>133</v>
      </c>
      <c r="H1726" t="s">
        <v>133</v>
      </c>
      <c r="I1726" t="s">
        <v>133</v>
      </c>
      <c r="O1726" t="s">
        <v>161</v>
      </c>
      <c r="R1726" t="s">
        <v>1677</v>
      </c>
      <c r="S1726" t="s">
        <v>1678</v>
      </c>
      <c r="T1726" t="s">
        <v>1663</v>
      </c>
    </row>
    <row r="1727" spans="1:20" x14ac:dyDescent="0.2">
      <c r="A1727" t="s">
        <v>5225</v>
      </c>
      <c r="B1727" t="s">
        <v>5226</v>
      </c>
      <c r="C1727" t="s">
        <v>5227</v>
      </c>
      <c r="D1727" t="s">
        <v>35</v>
      </c>
      <c r="E1727" t="s">
        <v>505</v>
      </c>
      <c r="F1727" t="s">
        <v>133</v>
      </c>
      <c r="G1727" t="s">
        <v>133</v>
      </c>
      <c r="H1727" t="s">
        <v>133</v>
      </c>
      <c r="I1727" t="s">
        <v>133</v>
      </c>
      <c r="O1727" t="s">
        <v>161</v>
      </c>
      <c r="R1727" t="s">
        <v>1219</v>
      </c>
      <c r="S1727" t="s">
        <v>1220</v>
      </c>
      <c r="T1727" t="s">
        <v>1663</v>
      </c>
    </row>
    <row r="1728" spans="1:20" x14ac:dyDescent="0.2">
      <c r="A1728" t="s">
        <v>5225</v>
      </c>
      <c r="B1728" t="s">
        <v>5226</v>
      </c>
      <c r="C1728" t="s">
        <v>5227</v>
      </c>
      <c r="D1728" t="s">
        <v>14</v>
      </c>
      <c r="E1728" t="s">
        <v>255</v>
      </c>
      <c r="F1728" t="s">
        <v>133</v>
      </c>
      <c r="G1728" t="s">
        <v>133</v>
      </c>
      <c r="H1728" t="s">
        <v>133</v>
      </c>
      <c r="I1728" t="s">
        <v>133</v>
      </c>
      <c r="K1728" t="s">
        <v>5192</v>
      </c>
      <c r="O1728" t="s">
        <v>161</v>
      </c>
    </row>
    <row r="1729" spans="1:20" x14ac:dyDescent="0.2">
      <c r="A1729" t="s">
        <v>5228</v>
      </c>
      <c r="B1729" t="s">
        <v>5229</v>
      </c>
      <c r="C1729" t="s">
        <v>5230</v>
      </c>
      <c r="D1729" t="s">
        <v>14</v>
      </c>
      <c r="E1729" t="s">
        <v>133</v>
      </c>
      <c r="F1729" t="s">
        <v>133</v>
      </c>
      <c r="G1729" t="s">
        <v>133</v>
      </c>
      <c r="H1729" t="s">
        <v>133</v>
      </c>
      <c r="I1729" t="s">
        <v>133</v>
      </c>
      <c r="K1729" t="s">
        <v>5231</v>
      </c>
      <c r="O1729" t="s">
        <v>161</v>
      </c>
    </row>
    <row r="1730" spans="1:20" x14ac:dyDescent="0.2">
      <c r="A1730" t="s">
        <v>5232</v>
      </c>
      <c r="B1730" t="s">
        <v>5233</v>
      </c>
      <c r="C1730" t="s">
        <v>5234</v>
      </c>
      <c r="D1730" t="s">
        <v>14</v>
      </c>
      <c r="E1730" t="s">
        <v>133</v>
      </c>
      <c r="F1730" t="s">
        <v>133</v>
      </c>
      <c r="G1730" t="s">
        <v>133</v>
      </c>
      <c r="H1730" t="s">
        <v>133</v>
      </c>
      <c r="I1730" t="s">
        <v>133</v>
      </c>
      <c r="K1730" t="s">
        <v>5235</v>
      </c>
      <c r="O1730" t="s">
        <v>161</v>
      </c>
    </row>
    <row r="1731" spans="1:20" x14ac:dyDescent="0.2">
      <c r="A1731" t="s">
        <v>5236</v>
      </c>
      <c r="B1731" t="s">
        <v>5237</v>
      </c>
      <c r="C1731" t="s">
        <v>5238</v>
      </c>
      <c r="D1731" t="s">
        <v>24</v>
      </c>
      <c r="E1731" t="s">
        <v>133</v>
      </c>
      <c r="O1731" t="s">
        <v>511</v>
      </c>
      <c r="Q1731" t="s">
        <v>5239</v>
      </c>
      <c r="R1731" t="s">
        <v>1680</v>
      </c>
      <c r="S1731" t="s">
        <v>1658</v>
      </c>
      <c r="T1731" t="s">
        <v>1663</v>
      </c>
    </row>
    <row r="1732" spans="1:20" x14ac:dyDescent="0.2">
      <c r="A1732" t="s">
        <v>5240</v>
      </c>
      <c r="B1732" t="s">
        <v>5241</v>
      </c>
      <c r="C1732" t="s">
        <v>5242</v>
      </c>
      <c r="D1732" t="s">
        <v>14</v>
      </c>
      <c r="E1732" t="s">
        <v>133</v>
      </c>
      <c r="F1732" t="s">
        <v>133</v>
      </c>
      <c r="G1732" t="s">
        <v>133</v>
      </c>
      <c r="H1732" t="s">
        <v>133</v>
      </c>
      <c r="I1732" t="s">
        <v>133</v>
      </c>
      <c r="K1732" t="s">
        <v>5243</v>
      </c>
      <c r="O1732" t="s">
        <v>161</v>
      </c>
    </row>
    <row r="1733" spans="1:20" x14ac:dyDescent="0.2">
      <c r="A1733" t="s">
        <v>5244</v>
      </c>
      <c r="B1733" t="s">
        <v>5245</v>
      </c>
      <c r="C1733" t="s">
        <v>5246</v>
      </c>
      <c r="D1733" t="s">
        <v>24</v>
      </c>
      <c r="E1733" t="s">
        <v>133</v>
      </c>
      <c r="F1733" t="s">
        <v>133</v>
      </c>
      <c r="G1733" t="s">
        <v>133</v>
      </c>
      <c r="H1733" t="s">
        <v>133</v>
      </c>
      <c r="I1733" t="s">
        <v>133</v>
      </c>
      <c r="O1733" t="s">
        <v>511</v>
      </c>
      <c r="Q1733" t="s">
        <v>5247</v>
      </c>
      <c r="R1733" t="s">
        <v>1680</v>
      </c>
      <c r="S1733" t="s">
        <v>1658</v>
      </c>
      <c r="T1733" t="s">
        <v>1663</v>
      </c>
    </row>
    <row r="1734" spans="1:20" x14ac:dyDescent="0.2">
      <c r="A1734" t="s">
        <v>5248</v>
      </c>
      <c r="B1734" t="s">
        <v>5249</v>
      </c>
      <c r="C1734" t="s">
        <v>5250</v>
      </c>
      <c r="D1734" t="s">
        <v>14</v>
      </c>
      <c r="E1734" t="s">
        <v>133</v>
      </c>
      <c r="F1734" t="s">
        <v>133</v>
      </c>
      <c r="G1734" t="s">
        <v>133</v>
      </c>
      <c r="H1734" t="s">
        <v>133</v>
      </c>
      <c r="I1734" t="s">
        <v>133</v>
      </c>
      <c r="K1734" t="s">
        <v>5251</v>
      </c>
      <c r="O1734" t="s">
        <v>161</v>
      </c>
    </row>
    <row r="1735" spans="1:20" x14ac:dyDescent="0.2">
      <c r="A1735" t="s">
        <v>5252</v>
      </c>
      <c r="B1735" t="s">
        <v>5253</v>
      </c>
      <c r="C1735" t="s">
        <v>5254</v>
      </c>
      <c r="D1735" t="s">
        <v>24</v>
      </c>
      <c r="E1735" t="s">
        <v>505</v>
      </c>
      <c r="F1735" t="s">
        <v>133</v>
      </c>
      <c r="G1735" t="s">
        <v>133</v>
      </c>
      <c r="H1735" t="s">
        <v>4818</v>
      </c>
      <c r="I1735" t="s">
        <v>133</v>
      </c>
      <c r="O1735" t="s">
        <v>511</v>
      </c>
      <c r="Q1735" t="s">
        <v>5255</v>
      </c>
      <c r="R1735" t="s">
        <v>1682</v>
      </c>
      <c r="S1735" t="s">
        <v>1683</v>
      </c>
      <c r="T1735" t="s">
        <v>1663</v>
      </c>
    </row>
    <row r="1736" spans="1:20" x14ac:dyDescent="0.2">
      <c r="A1736" t="s">
        <v>5252</v>
      </c>
      <c r="B1736" t="s">
        <v>5253</v>
      </c>
      <c r="C1736" t="s">
        <v>5254</v>
      </c>
      <c r="D1736" t="s">
        <v>24</v>
      </c>
      <c r="E1736" t="s">
        <v>505</v>
      </c>
      <c r="F1736" t="s">
        <v>133</v>
      </c>
      <c r="G1736" t="s">
        <v>133</v>
      </c>
      <c r="H1736" t="s">
        <v>1684</v>
      </c>
      <c r="I1736" t="s">
        <v>133</v>
      </c>
      <c r="O1736" t="s">
        <v>511</v>
      </c>
      <c r="Q1736" t="s">
        <v>5255</v>
      </c>
      <c r="R1736" t="s">
        <v>1685</v>
      </c>
      <c r="S1736" t="s">
        <v>1686</v>
      </c>
      <c r="T1736" t="s">
        <v>1663</v>
      </c>
    </row>
    <row r="1737" spans="1:20" x14ac:dyDescent="0.2">
      <c r="A1737" t="s">
        <v>5252</v>
      </c>
      <c r="B1737" t="s">
        <v>5253</v>
      </c>
      <c r="C1737" t="s">
        <v>5254</v>
      </c>
      <c r="D1737" t="s">
        <v>14</v>
      </c>
      <c r="E1737" t="s">
        <v>255</v>
      </c>
      <c r="F1737" t="s">
        <v>133</v>
      </c>
      <c r="G1737" t="s">
        <v>133</v>
      </c>
      <c r="H1737" t="s">
        <v>133</v>
      </c>
      <c r="I1737" t="s">
        <v>133</v>
      </c>
      <c r="K1737" t="s">
        <v>5256</v>
      </c>
      <c r="O1737" t="s">
        <v>511</v>
      </c>
      <c r="Q1737" t="s">
        <v>5255</v>
      </c>
    </row>
    <row r="1738" spans="1:20" x14ac:dyDescent="0.2">
      <c r="A1738" t="s">
        <v>5257</v>
      </c>
      <c r="B1738" t="s">
        <v>5258</v>
      </c>
      <c r="C1738" t="s">
        <v>5259</v>
      </c>
      <c r="D1738" t="s">
        <v>14</v>
      </c>
      <c r="E1738" t="s">
        <v>133</v>
      </c>
      <c r="H1738" t="s">
        <v>133</v>
      </c>
      <c r="K1738" t="s">
        <v>5260</v>
      </c>
      <c r="L1738" t="s">
        <v>160</v>
      </c>
      <c r="O1738" t="s">
        <v>161</v>
      </c>
    </row>
    <row r="1739" spans="1:20" x14ac:dyDescent="0.2">
      <c r="A1739" t="s">
        <v>5261</v>
      </c>
      <c r="B1739" t="s">
        <v>5262</v>
      </c>
      <c r="C1739" t="s">
        <v>5263</v>
      </c>
      <c r="D1739" t="s">
        <v>14</v>
      </c>
      <c r="E1739" t="s">
        <v>133</v>
      </c>
      <c r="F1739" t="s">
        <v>133</v>
      </c>
      <c r="G1739" t="s">
        <v>133</v>
      </c>
      <c r="H1739" t="s">
        <v>4219</v>
      </c>
      <c r="I1739" t="s">
        <v>133</v>
      </c>
      <c r="K1739" t="s">
        <v>5264</v>
      </c>
      <c r="O1739" t="s">
        <v>161</v>
      </c>
    </row>
    <row r="1740" spans="1:20" x14ac:dyDescent="0.2">
      <c r="A1740" t="s">
        <v>5265</v>
      </c>
      <c r="B1740" t="s">
        <v>5229</v>
      </c>
      <c r="C1740" t="s">
        <v>5264</v>
      </c>
      <c r="D1740" t="s">
        <v>24</v>
      </c>
      <c r="E1740" t="s">
        <v>133</v>
      </c>
      <c r="F1740" t="s">
        <v>133</v>
      </c>
      <c r="G1740" t="s">
        <v>133</v>
      </c>
      <c r="H1740" t="s">
        <v>133</v>
      </c>
      <c r="I1740" t="s">
        <v>133</v>
      </c>
      <c r="M1740" t="s">
        <v>291</v>
      </c>
      <c r="O1740" t="s">
        <v>161</v>
      </c>
      <c r="T1740" t="s">
        <v>1663</v>
      </c>
    </row>
    <row r="1741" spans="1:20" x14ac:dyDescent="0.2">
      <c r="A1741" t="s">
        <v>5266</v>
      </c>
      <c r="B1741" t="s">
        <v>5267</v>
      </c>
      <c r="C1741" t="s">
        <v>5268</v>
      </c>
      <c r="D1741" t="s">
        <v>14</v>
      </c>
      <c r="E1741" t="s">
        <v>133</v>
      </c>
      <c r="H1741" t="s">
        <v>133</v>
      </c>
      <c r="K1741" t="s">
        <v>5269</v>
      </c>
      <c r="L1741" t="s">
        <v>160</v>
      </c>
      <c r="O1741" t="s">
        <v>161</v>
      </c>
    </row>
    <row r="1742" spans="1:20" x14ac:dyDescent="0.2">
      <c r="A1742" t="s">
        <v>5270</v>
      </c>
      <c r="B1742" t="s">
        <v>5271</v>
      </c>
      <c r="C1742" t="s">
        <v>5272</v>
      </c>
      <c r="D1742" t="s">
        <v>14</v>
      </c>
      <c r="E1742" t="s">
        <v>133</v>
      </c>
      <c r="F1742" t="s">
        <v>133</v>
      </c>
      <c r="G1742" t="s">
        <v>133</v>
      </c>
      <c r="H1742" t="s">
        <v>133</v>
      </c>
      <c r="I1742" t="s">
        <v>133</v>
      </c>
      <c r="K1742" t="s">
        <v>5273</v>
      </c>
      <c r="O1742" t="s">
        <v>161</v>
      </c>
    </row>
    <row r="1743" spans="1:20" x14ac:dyDescent="0.2">
      <c r="A1743" t="s">
        <v>5274</v>
      </c>
      <c r="B1743" t="s">
        <v>5275</v>
      </c>
      <c r="C1743" t="s">
        <v>5276</v>
      </c>
      <c r="D1743" t="s">
        <v>14</v>
      </c>
      <c r="E1743" t="s">
        <v>133</v>
      </c>
      <c r="F1743" t="s">
        <v>133</v>
      </c>
      <c r="G1743" t="s">
        <v>133</v>
      </c>
      <c r="H1743" t="s">
        <v>133</v>
      </c>
      <c r="I1743" t="s">
        <v>133</v>
      </c>
      <c r="K1743" t="s">
        <v>5277</v>
      </c>
      <c r="O1743" t="s">
        <v>161</v>
      </c>
    </row>
    <row r="1744" spans="1:20" x14ac:dyDescent="0.2">
      <c r="A1744" t="s">
        <v>5278</v>
      </c>
      <c r="B1744" t="s">
        <v>5279</v>
      </c>
      <c r="C1744" t="s">
        <v>5280</v>
      </c>
      <c r="D1744" t="s">
        <v>24</v>
      </c>
      <c r="E1744" t="s">
        <v>133</v>
      </c>
      <c r="O1744" t="s">
        <v>511</v>
      </c>
      <c r="Q1744" t="s">
        <v>5281</v>
      </c>
      <c r="R1744" t="s">
        <v>4851</v>
      </c>
      <c r="S1744" t="s">
        <v>4852</v>
      </c>
      <c r="T1744" t="s">
        <v>1663</v>
      </c>
    </row>
    <row r="1745" spans="1:20" x14ac:dyDescent="0.2">
      <c r="A1745" t="s">
        <v>5282</v>
      </c>
      <c r="B1745" t="s">
        <v>5283</v>
      </c>
      <c r="C1745" t="s">
        <v>5284</v>
      </c>
      <c r="D1745" t="s">
        <v>14</v>
      </c>
      <c r="E1745" t="s">
        <v>133</v>
      </c>
      <c r="F1745" t="s">
        <v>133</v>
      </c>
      <c r="G1745" t="s">
        <v>133</v>
      </c>
      <c r="H1745" t="s">
        <v>133</v>
      </c>
      <c r="I1745" t="s">
        <v>133</v>
      </c>
      <c r="K1745" t="s">
        <v>5285</v>
      </c>
      <c r="O1745" t="s">
        <v>161</v>
      </c>
    </row>
    <row r="1746" spans="1:20" x14ac:dyDescent="0.2">
      <c r="A1746" t="s">
        <v>5286</v>
      </c>
      <c r="B1746" t="s">
        <v>5287</v>
      </c>
      <c r="C1746" t="s">
        <v>5288</v>
      </c>
      <c r="D1746" t="s">
        <v>24</v>
      </c>
      <c r="E1746" t="s">
        <v>133</v>
      </c>
      <c r="F1746" t="s">
        <v>133</v>
      </c>
      <c r="G1746" t="s">
        <v>133</v>
      </c>
      <c r="H1746" t="s">
        <v>133</v>
      </c>
      <c r="I1746" t="s">
        <v>133</v>
      </c>
      <c r="O1746" t="s">
        <v>161</v>
      </c>
      <c r="Q1746" t="s">
        <v>5289</v>
      </c>
      <c r="R1746" t="s">
        <v>4851</v>
      </c>
      <c r="S1746" t="s">
        <v>4852</v>
      </c>
      <c r="T1746" t="s">
        <v>1663</v>
      </c>
    </row>
    <row r="1747" spans="1:20" x14ac:dyDescent="0.2">
      <c r="A1747" t="s">
        <v>5290</v>
      </c>
      <c r="B1747" t="s">
        <v>5291</v>
      </c>
      <c r="C1747" t="s">
        <v>5292</v>
      </c>
      <c r="D1747" t="s">
        <v>24</v>
      </c>
      <c r="E1747" t="s">
        <v>133</v>
      </c>
      <c r="F1747" t="s">
        <v>133</v>
      </c>
      <c r="G1747" t="s">
        <v>133</v>
      </c>
      <c r="H1747" t="s">
        <v>133</v>
      </c>
      <c r="I1747" t="s">
        <v>133</v>
      </c>
      <c r="O1747" t="s">
        <v>161</v>
      </c>
      <c r="R1747" t="s">
        <v>1677</v>
      </c>
      <c r="S1747" t="s">
        <v>1678</v>
      </c>
      <c r="T1747" t="s">
        <v>1663</v>
      </c>
    </row>
    <row r="1748" spans="1:20" x14ac:dyDescent="0.2">
      <c r="A1748" t="s">
        <v>5293</v>
      </c>
      <c r="B1748" t="s">
        <v>5294</v>
      </c>
      <c r="C1748" t="s">
        <v>5295</v>
      </c>
      <c r="D1748" t="s">
        <v>24</v>
      </c>
      <c r="E1748" t="s">
        <v>133</v>
      </c>
      <c r="F1748" t="s">
        <v>133</v>
      </c>
      <c r="G1748" t="s">
        <v>133</v>
      </c>
      <c r="H1748" t="s">
        <v>133</v>
      </c>
      <c r="I1748" t="s">
        <v>133</v>
      </c>
      <c r="O1748" t="s">
        <v>161</v>
      </c>
      <c r="R1748" t="s">
        <v>1677</v>
      </c>
      <c r="S1748" t="s">
        <v>1678</v>
      </c>
      <c r="T1748" t="s">
        <v>1663</v>
      </c>
    </row>
    <row r="1749" spans="1:20" x14ac:dyDescent="0.2">
      <c r="A1749" t="s">
        <v>5296</v>
      </c>
      <c r="B1749" t="s">
        <v>5297</v>
      </c>
      <c r="C1749" t="s">
        <v>5298</v>
      </c>
      <c r="D1749" t="s">
        <v>24</v>
      </c>
      <c r="E1749" t="s">
        <v>505</v>
      </c>
      <c r="F1749" t="s">
        <v>133</v>
      </c>
      <c r="G1749" t="s">
        <v>133</v>
      </c>
      <c r="H1749" t="s">
        <v>133</v>
      </c>
      <c r="I1749" t="s">
        <v>133</v>
      </c>
      <c r="O1749" t="s">
        <v>161</v>
      </c>
      <c r="R1749" t="s">
        <v>1219</v>
      </c>
      <c r="S1749" t="s">
        <v>1220</v>
      </c>
      <c r="T1749" t="s">
        <v>1663</v>
      </c>
    </row>
    <row r="1750" spans="1:20" x14ac:dyDescent="0.2">
      <c r="A1750" t="s">
        <v>5296</v>
      </c>
      <c r="B1750" t="s">
        <v>5297</v>
      </c>
      <c r="C1750" t="s">
        <v>5298</v>
      </c>
      <c r="D1750" t="s">
        <v>14</v>
      </c>
      <c r="E1750" t="s">
        <v>255</v>
      </c>
      <c r="F1750" t="s">
        <v>133</v>
      </c>
      <c r="G1750" t="s">
        <v>133</v>
      </c>
      <c r="H1750" t="s">
        <v>133</v>
      </c>
      <c r="I1750" t="s">
        <v>133</v>
      </c>
      <c r="K1750" t="s">
        <v>5264</v>
      </c>
      <c r="O1750" t="s">
        <v>161</v>
      </c>
    </row>
    <row r="1751" spans="1:20" x14ac:dyDescent="0.2">
      <c r="A1751" t="s">
        <v>5299</v>
      </c>
      <c r="B1751" t="s">
        <v>5300</v>
      </c>
      <c r="C1751" t="s">
        <v>5301</v>
      </c>
      <c r="D1751" t="s">
        <v>14</v>
      </c>
      <c r="E1751" t="s">
        <v>133</v>
      </c>
      <c r="F1751" t="s">
        <v>133</v>
      </c>
      <c r="G1751" t="s">
        <v>133</v>
      </c>
      <c r="H1751" t="s">
        <v>133</v>
      </c>
      <c r="I1751" t="s">
        <v>133</v>
      </c>
      <c r="K1751" t="s">
        <v>5302</v>
      </c>
      <c r="O1751" t="s">
        <v>161</v>
      </c>
    </row>
    <row r="1752" spans="1:20" x14ac:dyDescent="0.2">
      <c r="A1752" t="s">
        <v>5303</v>
      </c>
      <c r="B1752" t="s">
        <v>5304</v>
      </c>
      <c r="C1752" t="s">
        <v>5305</v>
      </c>
      <c r="D1752" t="s">
        <v>14</v>
      </c>
      <c r="E1752" t="s">
        <v>133</v>
      </c>
      <c r="F1752" t="s">
        <v>133</v>
      </c>
      <c r="G1752" t="s">
        <v>133</v>
      </c>
      <c r="H1752" t="s">
        <v>133</v>
      </c>
      <c r="I1752" t="s">
        <v>133</v>
      </c>
      <c r="K1752" t="s">
        <v>5306</v>
      </c>
      <c r="O1752" t="s">
        <v>161</v>
      </c>
    </row>
    <row r="1753" spans="1:20" x14ac:dyDescent="0.2">
      <c r="A1753" t="s">
        <v>5307</v>
      </c>
      <c r="B1753" t="s">
        <v>5308</v>
      </c>
      <c r="C1753" t="s">
        <v>5309</v>
      </c>
      <c r="D1753" t="s">
        <v>24</v>
      </c>
      <c r="E1753" t="s">
        <v>505</v>
      </c>
      <c r="F1753" t="s">
        <v>133</v>
      </c>
      <c r="G1753" t="s">
        <v>133</v>
      </c>
      <c r="H1753" t="s">
        <v>133</v>
      </c>
      <c r="I1753" t="s">
        <v>133</v>
      </c>
      <c r="O1753" t="s">
        <v>511</v>
      </c>
      <c r="Q1753" t="s">
        <v>5310</v>
      </c>
      <c r="R1753" t="s">
        <v>1680</v>
      </c>
      <c r="S1753" t="s">
        <v>1658</v>
      </c>
      <c r="T1753" t="s">
        <v>1663</v>
      </c>
    </row>
    <row r="1754" spans="1:20" x14ac:dyDescent="0.2">
      <c r="A1754" t="s">
        <v>5307</v>
      </c>
      <c r="B1754" t="s">
        <v>5308</v>
      </c>
      <c r="C1754" t="s">
        <v>5309</v>
      </c>
      <c r="D1754" t="s">
        <v>14</v>
      </c>
      <c r="E1754" t="s">
        <v>255</v>
      </c>
      <c r="F1754" t="s">
        <v>133</v>
      </c>
      <c r="G1754" t="s">
        <v>133</v>
      </c>
      <c r="H1754" t="s">
        <v>133</v>
      </c>
      <c r="I1754" t="s">
        <v>133</v>
      </c>
      <c r="K1754" t="s">
        <v>5311</v>
      </c>
      <c r="O1754" t="s">
        <v>511</v>
      </c>
      <c r="Q1754" t="s">
        <v>5310</v>
      </c>
    </row>
    <row r="1755" spans="1:20" x14ac:dyDescent="0.2">
      <c r="A1755" t="s">
        <v>5312</v>
      </c>
      <c r="B1755" t="s">
        <v>5313</v>
      </c>
      <c r="C1755" t="s">
        <v>5314</v>
      </c>
      <c r="D1755" t="s">
        <v>14</v>
      </c>
      <c r="E1755" t="s">
        <v>133</v>
      </c>
      <c r="K1755" t="s">
        <v>5315</v>
      </c>
      <c r="L1755" t="s">
        <v>160</v>
      </c>
      <c r="O1755" t="s">
        <v>161</v>
      </c>
    </row>
    <row r="1756" spans="1:20" x14ac:dyDescent="0.2">
      <c r="A1756" t="s">
        <v>5316</v>
      </c>
      <c r="B1756" t="s">
        <v>5317</v>
      </c>
      <c r="C1756" t="s">
        <v>5318</v>
      </c>
      <c r="D1756" t="s">
        <v>14</v>
      </c>
      <c r="E1756" t="s">
        <v>133</v>
      </c>
      <c r="F1756" t="s">
        <v>133</v>
      </c>
      <c r="G1756" t="s">
        <v>133</v>
      </c>
      <c r="H1756" t="s">
        <v>1679</v>
      </c>
      <c r="I1756" t="s">
        <v>133</v>
      </c>
      <c r="K1756" t="s">
        <v>5319</v>
      </c>
      <c r="O1756" t="s">
        <v>161</v>
      </c>
    </row>
    <row r="1757" spans="1:20" x14ac:dyDescent="0.2">
      <c r="A1757" t="s">
        <v>5320</v>
      </c>
      <c r="B1757" t="s">
        <v>5321</v>
      </c>
      <c r="C1757" t="s">
        <v>5322</v>
      </c>
      <c r="D1757" t="s">
        <v>24</v>
      </c>
      <c r="E1757" t="s">
        <v>133</v>
      </c>
      <c r="O1757" t="s">
        <v>511</v>
      </c>
      <c r="Q1757" t="s">
        <v>5323</v>
      </c>
      <c r="R1757" t="s">
        <v>1680</v>
      </c>
      <c r="S1757" t="s">
        <v>1658</v>
      </c>
      <c r="T1757" t="s">
        <v>1663</v>
      </c>
    </row>
    <row r="1758" spans="1:20" x14ac:dyDescent="0.2">
      <c r="A1758" t="s">
        <v>5324</v>
      </c>
      <c r="B1758" t="s">
        <v>5325</v>
      </c>
      <c r="C1758" t="s">
        <v>5326</v>
      </c>
      <c r="D1758" t="s">
        <v>14</v>
      </c>
      <c r="E1758" t="s">
        <v>133</v>
      </c>
      <c r="G1758" t="s">
        <v>133</v>
      </c>
      <c r="H1758" t="s">
        <v>133</v>
      </c>
      <c r="I1758" t="s">
        <v>133</v>
      </c>
      <c r="K1758" t="s">
        <v>5327</v>
      </c>
      <c r="O1758" t="s">
        <v>161</v>
      </c>
    </row>
    <row r="1759" spans="1:20" x14ac:dyDescent="0.2">
      <c r="A1759" t="s">
        <v>5328</v>
      </c>
      <c r="B1759" t="s">
        <v>5329</v>
      </c>
      <c r="C1759" t="s">
        <v>5330</v>
      </c>
      <c r="D1759" t="s">
        <v>24</v>
      </c>
      <c r="E1759" t="s">
        <v>133</v>
      </c>
      <c r="G1759" t="s">
        <v>133</v>
      </c>
      <c r="H1759" t="s">
        <v>133</v>
      </c>
      <c r="I1759" t="s">
        <v>133</v>
      </c>
      <c r="O1759" t="s">
        <v>161</v>
      </c>
      <c r="R1759" t="s">
        <v>1680</v>
      </c>
      <c r="S1759" t="s">
        <v>1658</v>
      </c>
      <c r="T1759" t="s">
        <v>1663</v>
      </c>
    </row>
    <row r="1760" spans="1:20" x14ac:dyDescent="0.2">
      <c r="A1760" t="s">
        <v>5331</v>
      </c>
      <c r="B1760" t="s">
        <v>5332</v>
      </c>
      <c r="C1760" t="s">
        <v>5333</v>
      </c>
      <c r="D1760" t="s">
        <v>24</v>
      </c>
      <c r="E1760" t="s">
        <v>133</v>
      </c>
      <c r="G1760" t="s">
        <v>133</v>
      </c>
      <c r="H1760" t="s">
        <v>133</v>
      </c>
      <c r="I1760" t="s">
        <v>133</v>
      </c>
      <c r="O1760" t="s">
        <v>161</v>
      </c>
      <c r="R1760" t="s">
        <v>1680</v>
      </c>
      <c r="S1760" t="s">
        <v>1658</v>
      </c>
      <c r="T1760" t="s">
        <v>1663</v>
      </c>
    </row>
    <row r="1761" spans="1:20" x14ac:dyDescent="0.2">
      <c r="A1761" t="s">
        <v>5334</v>
      </c>
      <c r="B1761" t="s">
        <v>5335</v>
      </c>
      <c r="C1761" t="s">
        <v>5336</v>
      </c>
      <c r="D1761" t="s">
        <v>24</v>
      </c>
      <c r="E1761" t="s">
        <v>133</v>
      </c>
      <c r="G1761" t="s">
        <v>133</v>
      </c>
      <c r="H1761" t="s">
        <v>133</v>
      </c>
      <c r="I1761" t="s">
        <v>133</v>
      </c>
      <c r="O1761" t="s">
        <v>161</v>
      </c>
      <c r="R1761" t="s">
        <v>1680</v>
      </c>
      <c r="S1761" t="s">
        <v>1658</v>
      </c>
      <c r="T1761" t="s">
        <v>1663</v>
      </c>
    </row>
    <row r="1762" spans="1:20" x14ac:dyDescent="0.2">
      <c r="A1762" t="s">
        <v>5337</v>
      </c>
      <c r="B1762" t="s">
        <v>5338</v>
      </c>
      <c r="C1762" t="s">
        <v>5339</v>
      </c>
      <c r="D1762" t="s">
        <v>24</v>
      </c>
      <c r="E1762" t="s">
        <v>133</v>
      </c>
      <c r="G1762" t="s">
        <v>133</v>
      </c>
      <c r="H1762" t="s">
        <v>133</v>
      </c>
      <c r="I1762" t="s">
        <v>133</v>
      </c>
      <c r="O1762" t="s">
        <v>161</v>
      </c>
      <c r="R1762" t="s">
        <v>1680</v>
      </c>
      <c r="S1762" t="s">
        <v>1658</v>
      </c>
      <c r="T1762" t="s">
        <v>1663</v>
      </c>
    </row>
    <row r="1763" spans="1:20" x14ac:dyDescent="0.2">
      <c r="A1763" t="s">
        <v>5340</v>
      </c>
      <c r="B1763" t="s">
        <v>5341</v>
      </c>
      <c r="C1763" t="s">
        <v>5342</v>
      </c>
      <c r="D1763" t="s">
        <v>14</v>
      </c>
      <c r="E1763" t="s">
        <v>133</v>
      </c>
      <c r="F1763" t="s">
        <v>133</v>
      </c>
      <c r="G1763" t="s">
        <v>133</v>
      </c>
      <c r="H1763" t="s">
        <v>133</v>
      </c>
      <c r="I1763" t="s">
        <v>133</v>
      </c>
      <c r="K1763" t="s">
        <v>5343</v>
      </c>
      <c r="O1763" t="s">
        <v>161</v>
      </c>
    </row>
    <row r="1764" spans="1:20" x14ac:dyDescent="0.2">
      <c r="A1764" t="s">
        <v>5344</v>
      </c>
      <c r="B1764" t="s">
        <v>5345</v>
      </c>
      <c r="C1764" t="s">
        <v>5346</v>
      </c>
      <c r="D1764" t="s">
        <v>35</v>
      </c>
      <c r="E1764" t="s">
        <v>505</v>
      </c>
      <c r="F1764" t="s">
        <v>133</v>
      </c>
      <c r="G1764" t="s">
        <v>133</v>
      </c>
      <c r="H1764" t="s">
        <v>4818</v>
      </c>
      <c r="I1764" t="s">
        <v>133</v>
      </c>
      <c r="O1764" t="s">
        <v>511</v>
      </c>
      <c r="Q1764" t="s">
        <v>5347</v>
      </c>
      <c r="R1764" t="s">
        <v>1682</v>
      </c>
      <c r="S1764" t="s">
        <v>1683</v>
      </c>
      <c r="T1764" t="s">
        <v>1663</v>
      </c>
    </row>
    <row r="1765" spans="1:20" x14ac:dyDescent="0.2">
      <c r="A1765" t="s">
        <v>5344</v>
      </c>
      <c r="B1765" t="s">
        <v>5345</v>
      </c>
      <c r="C1765" t="s">
        <v>5346</v>
      </c>
      <c r="D1765" t="s">
        <v>35</v>
      </c>
      <c r="E1765" t="s">
        <v>505</v>
      </c>
      <c r="F1765" t="s">
        <v>133</v>
      </c>
      <c r="G1765" t="s">
        <v>133</v>
      </c>
      <c r="H1765" t="s">
        <v>1684</v>
      </c>
      <c r="I1765" t="s">
        <v>133</v>
      </c>
      <c r="O1765" t="s">
        <v>511</v>
      </c>
      <c r="Q1765" t="s">
        <v>5347</v>
      </c>
      <c r="R1765" t="s">
        <v>1685</v>
      </c>
      <c r="S1765" t="s">
        <v>1686</v>
      </c>
      <c r="T1765" t="s">
        <v>1663</v>
      </c>
    </row>
    <row r="1766" spans="1:20" x14ac:dyDescent="0.2">
      <c r="A1766" t="s">
        <v>5344</v>
      </c>
      <c r="B1766" t="s">
        <v>5345</v>
      </c>
      <c r="C1766" t="s">
        <v>5346</v>
      </c>
      <c r="D1766" t="s">
        <v>14</v>
      </c>
      <c r="E1766" t="s">
        <v>255</v>
      </c>
      <c r="F1766" t="s">
        <v>133</v>
      </c>
      <c r="G1766" t="s">
        <v>133</v>
      </c>
      <c r="H1766" t="s">
        <v>133</v>
      </c>
      <c r="I1766" t="s">
        <v>133</v>
      </c>
      <c r="K1766" t="s">
        <v>5348</v>
      </c>
      <c r="O1766" t="s">
        <v>511</v>
      </c>
      <c r="Q1766" t="s">
        <v>5347</v>
      </c>
    </row>
    <row r="1767" spans="1:20" x14ac:dyDescent="0.2">
      <c r="A1767" t="s">
        <v>5349</v>
      </c>
      <c r="B1767" t="s">
        <v>5350</v>
      </c>
      <c r="C1767" t="s">
        <v>5351</v>
      </c>
      <c r="D1767" t="s">
        <v>14</v>
      </c>
      <c r="E1767" t="s">
        <v>133</v>
      </c>
      <c r="H1767" t="s">
        <v>133</v>
      </c>
      <c r="K1767" t="s">
        <v>5352</v>
      </c>
      <c r="L1767" t="s">
        <v>160</v>
      </c>
      <c r="O1767" t="s">
        <v>161</v>
      </c>
    </row>
    <row r="1768" spans="1:20" x14ac:dyDescent="0.2">
      <c r="A1768" t="s">
        <v>5353</v>
      </c>
      <c r="B1768" t="s">
        <v>5354</v>
      </c>
      <c r="C1768" t="s">
        <v>5355</v>
      </c>
      <c r="D1768" t="s">
        <v>14</v>
      </c>
      <c r="E1768" t="s">
        <v>133</v>
      </c>
      <c r="F1768" t="s">
        <v>133</v>
      </c>
      <c r="G1768" t="s">
        <v>133</v>
      </c>
      <c r="H1768" t="s">
        <v>4219</v>
      </c>
      <c r="I1768" t="s">
        <v>133</v>
      </c>
      <c r="K1768" t="s">
        <v>5319</v>
      </c>
      <c r="O1768" t="s">
        <v>161</v>
      </c>
    </row>
    <row r="1769" spans="1:20" x14ac:dyDescent="0.2">
      <c r="A1769" t="s">
        <v>5356</v>
      </c>
      <c r="B1769" t="s">
        <v>5300</v>
      </c>
      <c r="C1769" t="s">
        <v>5319</v>
      </c>
      <c r="D1769" t="s">
        <v>35</v>
      </c>
      <c r="E1769" t="s">
        <v>133</v>
      </c>
      <c r="F1769" t="s">
        <v>133</v>
      </c>
      <c r="G1769" t="s">
        <v>133</v>
      </c>
      <c r="H1769" t="s">
        <v>133</v>
      </c>
      <c r="I1769" t="s">
        <v>133</v>
      </c>
      <c r="M1769" t="s">
        <v>291</v>
      </c>
      <c r="O1769" t="s">
        <v>161</v>
      </c>
      <c r="T1769" t="s">
        <v>1663</v>
      </c>
    </row>
    <row r="1770" spans="1:20" x14ac:dyDescent="0.2">
      <c r="A1770" t="s">
        <v>5357</v>
      </c>
      <c r="B1770" t="s">
        <v>5358</v>
      </c>
      <c r="C1770" t="s">
        <v>5359</v>
      </c>
      <c r="D1770" t="s">
        <v>14</v>
      </c>
      <c r="E1770" t="s">
        <v>133</v>
      </c>
      <c r="H1770" t="s">
        <v>133</v>
      </c>
      <c r="K1770" t="s">
        <v>5360</v>
      </c>
      <c r="L1770" t="s">
        <v>160</v>
      </c>
      <c r="O1770" t="s">
        <v>161</v>
      </c>
    </row>
    <row r="1771" spans="1:20" x14ac:dyDescent="0.2">
      <c r="A1771" t="s">
        <v>5361</v>
      </c>
      <c r="B1771" t="s">
        <v>5362</v>
      </c>
      <c r="C1771" t="s">
        <v>5363</v>
      </c>
      <c r="D1771" t="s">
        <v>14</v>
      </c>
      <c r="E1771" t="s">
        <v>133</v>
      </c>
      <c r="F1771" t="s">
        <v>133</v>
      </c>
      <c r="G1771" t="s">
        <v>133</v>
      </c>
      <c r="H1771" t="s">
        <v>133</v>
      </c>
      <c r="I1771" t="s">
        <v>133</v>
      </c>
      <c r="K1771" t="s">
        <v>5364</v>
      </c>
      <c r="O1771" t="s">
        <v>161</v>
      </c>
    </row>
    <row r="1772" spans="1:20" x14ac:dyDescent="0.2">
      <c r="A1772" t="s">
        <v>5365</v>
      </c>
      <c r="B1772" t="s">
        <v>5366</v>
      </c>
      <c r="C1772" t="s">
        <v>5367</v>
      </c>
      <c r="D1772" t="s">
        <v>14</v>
      </c>
      <c r="E1772" t="s">
        <v>133</v>
      </c>
      <c r="F1772" t="s">
        <v>133</v>
      </c>
      <c r="G1772" t="s">
        <v>133</v>
      </c>
      <c r="H1772" t="s">
        <v>133</v>
      </c>
      <c r="I1772" t="s">
        <v>133</v>
      </c>
      <c r="K1772" t="s">
        <v>5368</v>
      </c>
      <c r="O1772" t="s">
        <v>161</v>
      </c>
    </row>
    <row r="1773" spans="1:20" x14ac:dyDescent="0.2">
      <c r="A1773" t="s">
        <v>5369</v>
      </c>
      <c r="B1773" t="s">
        <v>5370</v>
      </c>
      <c r="C1773" t="s">
        <v>5371</v>
      </c>
      <c r="D1773" t="s">
        <v>24</v>
      </c>
      <c r="E1773" t="s">
        <v>133</v>
      </c>
      <c r="O1773" t="s">
        <v>511</v>
      </c>
      <c r="Q1773" t="s">
        <v>5372</v>
      </c>
      <c r="R1773" t="s">
        <v>4851</v>
      </c>
      <c r="S1773" t="s">
        <v>4852</v>
      </c>
      <c r="T1773" t="s">
        <v>1663</v>
      </c>
    </row>
    <row r="1774" spans="1:20" x14ac:dyDescent="0.2">
      <c r="A1774" t="s">
        <v>5373</v>
      </c>
      <c r="B1774" t="s">
        <v>5374</v>
      </c>
      <c r="C1774" t="s">
        <v>5375</v>
      </c>
      <c r="D1774" t="s">
        <v>24</v>
      </c>
      <c r="E1774" t="s">
        <v>133</v>
      </c>
      <c r="F1774" t="s">
        <v>133</v>
      </c>
      <c r="G1774" t="s">
        <v>133</v>
      </c>
      <c r="H1774" t="s">
        <v>133</v>
      </c>
      <c r="I1774" t="s">
        <v>133</v>
      </c>
      <c r="O1774" t="s">
        <v>161</v>
      </c>
      <c r="R1774" t="s">
        <v>4851</v>
      </c>
      <c r="S1774" t="s">
        <v>4852</v>
      </c>
      <c r="T1774" t="s">
        <v>1663</v>
      </c>
    </row>
    <row r="1775" spans="1:20" x14ac:dyDescent="0.2">
      <c r="A1775" t="s">
        <v>5376</v>
      </c>
      <c r="B1775" t="s">
        <v>5377</v>
      </c>
      <c r="C1775" t="s">
        <v>5378</v>
      </c>
      <c r="D1775" t="s">
        <v>24</v>
      </c>
      <c r="E1775" t="s">
        <v>133</v>
      </c>
      <c r="F1775" t="s">
        <v>133</v>
      </c>
      <c r="G1775" t="s">
        <v>133</v>
      </c>
      <c r="H1775" t="s">
        <v>133</v>
      </c>
      <c r="I1775" t="s">
        <v>133</v>
      </c>
      <c r="O1775" t="s">
        <v>161</v>
      </c>
      <c r="R1775" t="s">
        <v>1677</v>
      </c>
      <c r="S1775" t="s">
        <v>1678</v>
      </c>
      <c r="T1775" t="s">
        <v>1663</v>
      </c>
    </row>
    <row r="1776" spans="1:20" x14ac:dyDescent="0.2">
      <c r="A1776" t="s">
        <v>5379</v>
      </c>
      <c r="B1776" t="s">
        <v>5380</v>
      </c>
      <c r="C1776" t="s">
        <v>5381</v>
      </c>
      <c r="D1776" t="s">
        <v>24</v>
      </c>
      <c r="E1776" t="s">
        <v>505</v>
      </c>
      <c r="F1776" t="s">
        <v>133</v>
      </c>
      <c r="G1776" t="s">
        <v>133</v>
      </c>
      <c r="H1776" t="s">
        <v>133</v>
      </c>
      <c r="I1776" t="s">
        <v>133</v>
      </c>
      <c r="O1776" t="s">
        <v>161</v>
      </c>
      <c r="R1776" t="s">
        <v>1219</v>
      </c>
      <c r="S1776" t="s">
        <v>1220</v>
      </c>
      <c r="T1776" t="s">
        <v>1663</v>
      </c>
    </row>
    <row r="1777" spans="1:20" x14ac:dyDescent="0.2">
      <c r="A1777" t="s">
        <v>5379</v>
      </c>
      <c r="B1777" t="s">
        <v>5380</v>
      </c>
      <c r="C1777" t="s">
        <v>5381</v>
      </c>
      <c r="D1777" t="s">
        <v>14</v>
      </c>
      <c r="E1777" t="s">
        <v>255</v>
      </c>
      <c r="F1777" t="s">
        <v>133</v>
      </c>
      <c r="G1777" t="s">
        <v>133</v>
      </c>
      <c r="H1777" t="s">
        <v>133</v>
      </c>
      <c r="I1777" t="s">
        <v>133</v>
      </c>
      <c r="K1777" t="s">
        <v>5319</v>
      </c>
      <c r="O1777" t="s">
        <v>161</v>
      </c>
    </row>
    <row r="1778" spans="1:20" x14ac:dyDescent="0.2">
      <c r="A1778" t="s">
        <v>5382</v>
      </c>
      <c r="B1778" t="s">
        <v>5383</v>
      </c>
      <c r="C1778" t="s">
        <v>5384</v>
      </c>
      <c r="D1778" t="s">
        <v>14</v>
      </c>
      <c r="E1778" t="s">
        <v>133</v>
      </c>
      <c r="F1778" t="s">
        <v>133</v>
      </c>
      <c r="G1778" t="s">
        <v>133</v>
      </c>
      <c r="H1778" t="s">
        <v>133</v>
      </c>
      <c r="I1778" t="s">
        <v>133</v>
      </c>
      <c r="K1778" t="s">
        <v>5385</v>
      </c>
      <c r="O1778" t="s">
        <v>161</v>
      </c>
    </row>
    <row r="1779" spans="1:20" x14ac:dyDescent="0.2">
      <c r="A1779" t="s">
        <v>5386</v>
      </c>
      <c r="B1779" t="s">
        <v>5387</v>
      </c>
      <c r="C1779" t="s">
        <v>5388</v>
      </c>
      <c r="D1779" t="s">
        <v>14</v>
      </c>
      <c r="E1779" t="s">
        <v>133</v>
      </c>
      <c r="F1779" t="s">
        <v>133</v>
      </c>
      <c r="G1779" t="s">
        <v>133</v>
      </c>
      <c r="H1779" t="s">
        <v>133</v>
      </c>
      <c r="I1779" t="s">
        <v>133</v>
      </c>
      <c r="K1779" t="s">
        <v>5389</v>
      </c>
      <c r="O1779" t="s">
        <v>161</v>
      </c>
    </row>
    <row r="1780" spans="1:20" x14ac:dyDescent="0.2">
      <c r="A1780" t="s">
        <v>5390</v>
      </c>
      <c r="B1780" t="s">
        <v>5391</v>
      </c>
      <c r="C1780" t="s">
        <v>5392</v>
      </c>
      <c r="D1780" t="s">
        <v>24</v>
      </c>
      <c r="E1780" t="s">
        <v>133</v>
      </c>
      <c r="O1780" t="s">
        <v>511</v>
      </c>
      <c r="Q1780" t="s">
        <v>5393</v>
      </c>
      <c r="R1780" t="s">
        <v>1680</v>
      </c>
      <c r="S1780" t="s">
        <v>1658</v>
      </c>
      <c r="T1780" t="s">
        <v>1663</v>
      </c>
    </row>
    <row r="1781" spans="1:20" x14ac:dyDescent="0.2">
      <c r="A1781" t="s">
        <v>5394</v>
      </c>
      <c r="B1781" t="s">
        <v>5395</v>
      </c>
      <c r="C1781" t="s">
        <v>5396</v>
      </c>
      <c r="D1781" t="s">
        <v>14</v>
      </c>
      <c r="E1781" t="s">
        <v>133</v>
      </c>
      <c r="F1781" t="s">
        <v>133</v>
      </c>
      <c r="G1781" t="s">
        <v>133</v>
      </c>
      <c r="H1781" t="s">
        <v>133</v>
      </c>
      <c r="I1781" t="s">
        <v>133</v>
      </c>
      <c r="K1781" t="s">
        <v>5397</v>
      </c>
      <c r="O1781" t="s">
        <v>161</v>
      </c>
    </row>
    <row r="1782" spans="1:20" x14ac:dyDescent="0.2">
      <c r="A1782" t="s">
        <v>5398</v>
      </c>
      <c r="B1782" t="s">
        <v>5399</v>
      </c>
      <c r="C1782" t="s">
        <v>5400</v>
      </c>
      <c r="D1782" t="s">
        <v>24</v>
      </c>
      <c r="E1782" t="s">
        <v>133</v>
      </c>
      <c r="F1782" t="s">
        <v>133</v>
      </c>
      <c r="G1782" t="s">
        <v>133</v>
      </c>
      <c r="H1782" t="s">
        <v>133</v>
      </c>
      <c r="I1782" t="s">
        <v>133</v>
      </c>
      <c r="O1782" t="s">
        <v>511</v>
      </c>
      <c r="Q1782" t="s">
        <v>5401</v>
      </c>
      <c r="R1782" t="s">
        <v>1680</v>
      </c>
      <c r="S1782" t="s">
        <v>1658</v>
      </c>
      <c r="T1782" t="s">
        <v>1663</v>
      </c>
    </row>
    <row r="1783" spans="1:20" x14ac:dyDescent="0.2">
      <c r="A1783" t="s">
        <v>5402</v>
      </c>
      <c r="B1783" t="s">
        <v>5403</v>
      </c>
      <c r="C1783" t="s">
        <v>5404</v>
      </c>
      <c r="D1783" t="s">
        <v>14</v>
      </c>
      <c r="E1783" t="s">
        <v>133</v>
      </c>
      <c r="F1783" t="s">
        <v>133</v>
      </c>
      <c r="G1783" t="s">
        <v>133</v>
      </c>
      <c r="H1783" t="s">
        <v>133</v>
      </c>
      <c r="I1783" t="s">
        <v>133</v>
      </c>
      <c r="K1783" t="s">
        <v>5405</v>
      </c>
      <c r="O1783" t="s">
        <v>161</v>
      </c>
    </row>
    <row r="1784" spans="1:20" x14ac:dyDescent="0.2">
      <c r="A1784" t="s">
        <v>5406</v>
      </c>
      <c r="B1784" t="s">
        <v>5407</v>
      </c>
      <c r="C1784" t="s">
        <v>5408</v>
      </c>
      <c r="D1784" t="s">
        <v>35</v>
      </c>
      <c r="E1784" t="s">
        <v>505</v>
      </c>
      <c r="F1784" t="s">
        <v>133</v>
      </c>
      <c r="G1784" t="s">
        <v>133</v>
      </c>
      <c r="H1784" t="s">
        <v>4818</v>
      </c>
      <c r="I1784" t="s">
        <v>133</v>
      </c>
      <c r="O1784" t="s">
        <v>511</v>
      </c>
      <c r="Q1784" t="s">
        <v>5409</v>
      </c>
      <c r="R1784" t="s">
        <v>1682</v>
      </c>
      <c r="S1784" t="s">
        <v>1683</v>
      </c>
      <c r="T1784" t="s">
        <v>1663</v>
      </c>
    </row>
    <row r="1785" spans="1:20" x14ac:dyDescent="0.2">
      <c r="A1785" t="s">
        <v>5406</v>
      </c>
      <c r="B1785" t="s">
        <v>5407</v>
      </c>
      <c r="C1785" t="s">
        <v>5408</v>
      </c>
      <c r="D1785" t="s">
        <v>35</v>
      </c>
      <c r="E1785" t="s">
        <v>505</v>
      </c>
      <c r="F1785" t="s">
        <v>133</v>
      </c>
      <c r="G1785" t="s">
        <v>133</v>
      </c>
      <c r="H1785" t="s">
        <v>1684</v>
      </c>
      <c r="I1785" t="s">
        <v>133</v>
      </c>
      <c r="O1785" t="s">
        <v>511</v>
      </c>
      <c r="Q1785" t="s">
        <v>5409</v>
      </c>
      <c r="R1785" t="s">
        <v>1685</v>
      </c>
      <c r="S1785" t="s">
        <v>1686</v>
      </c>
      <c r="T1785" t="s">
        <v>1663</v>
      </c>
    </row>
    <row r="1786" spans="1:20" x14ac:dyDescent="0.2">
      <c r="A1786" t="s">
        <v>5406</v>
      </c>
      <c r="B1786" t="s">
        <v>5407</v>
      </c>
      <c r="C1786" t="s">
        <v>5408</v>
      </c>
      <c r="D1786" t="s">
        <v>14</v>
      </c>
      <c r="E1786" t="s">
        <v>255</v>
      </c>
      <c r="F1786" t="s">
        <v>133</v>
      </c>
      <c r="G1786" t="s">
        <v>133</v>
      </c>
      <c r="H1786" t="s">
        <v>133</v>
      </c>
      <c r="I1786" t="s">
        <v>133</v>
      </c>
      <c r="K1786" t="s">
        <v>5410</v>
      </c>
      <c r="O1786" t="s">
        <v>511</v>
      </c>
      <c r="Q1786" t="s">
        <v>5409</v>
      </c>
    </row>
    <row r="1787" spans="1:20" x14ac:dyDescent="0.2">
      <c r="A1787" t="s">
        <v>5411</v>
      </c>
      <c r="B1787" t="s">
        <v>5412</v>
      </c>
      <c r="C1787" t="s">
        <v>5413</v>
      </c>
      <c r="D1787" t="s">
        <v>14</v>
      </c>
      <c r="E1787" t="s">
        <v>133</v>
      </c>
      <c r="H1787" t="s">
        <v>133</v>
      </c>
      <c r="K1787" t="s">
        <v>5414</v>
      </c>
      <c r="L1787" t="s">
        <v>160</v>
      </c>
      <c r="O1787" t="s">
        <v>161</v>
      </c>
    </row>
    <row r="1788" spans="1:20" x14ac:dyDescent="0.2">
      <c r="A1788" t="s">
        <v>5415</v>
      </c>
      <c r="B1788" t="s">
        <v>5416</v>
      </c>
      <c r="C1788" t="s">
        <v>5417</v>
      </c>
      <c r="D1788" t="s">
        <v>14</v>
      </c>
      <c r="E1788" t="s">
        <v>133</v>
      </c>
      <c r="F1788" t="s">
        <v>133</v>
      </c>
      <c r="G1788" t="s">
        <v>133</v>
      </c>
      <c r="H1788" t="s">
        <v>4219</v>
      </c>
      <c r="I1788" t="s">
        <v>133</v>
      </c>
      <c r="K1788" t="s">
        <v>5418</v>
      </c>
      <c r="O1788" t="s">
        <v>161</v>
      </c>
    </row>
    <row r="1789" spans="1:20" x14ac:dyDescent="0.2">
      <c r="A1789" t="s">
        <v>5419</v>
      </c>
      <c r="B1789" t="s">
        <v>5383</v>
      </c>
      <c r="C1789" t="s">
        <v>5418</v>
      </c>
      <c r="D1789" t="s">
        <v>35</v>
      </c>
      <c r="E1789" t="s">
        <v>133</v>
      </c>
      <c r="F1789" t="s">
        <v>133</v>
      </c>
      <c r="G1789" t="s">
        <v>133</v>
      </c>
      <c r="H1789" t="s">
        <v>133</v>
      </c>
      <c r="I1789" t="s">
        <v>133</v>
      </c>
      <c r="M1789" t="s">
        <v>291</v>
      </c>
      <c r="O1789" t="s">
        <v>161</v>
      </c>
      <c r="T1789" t="s">
        <v>1663</v>
      </c>
    </row>
    <row r="1790" spans="1:20" x14ac:dyDescent="0.2">
      <c r="A1790" t="s">
        <v>5420</v>
      </c>
      <c r="B1790" t="s">
        <v>5421</v>
      </c>
      <c r="C1790" t="s">
        <v>5422</v>
      </c>
      <c r="D1790" t="s">
        <v>14</v>
      </c>
      <c r="E1790" t="s">
        <v>133</v>
      </c>
      <c r="H1790" t="s">
        <v>133</v>
      </c>
      <c r="K1790" t="s">
        <v>5423</v>
      </c>
      <c r="L1790" t="s">
        <v>160</v>
      </c>
      <c r="O1790" t="s">
        <v>161</v>
      </c>
    </row>
    <row r="1791" spans="1:20" x14ac:dyDescent="0.2">
      <c r="A1791" t="s">
        <v>5424</v>
      </c>
      <c r="B1791" t="s">
        <v>5425</v>
      </c>
      <c r="C1791" t="s">
        <v>5426</v>
      </c>
      <c r="D1791" t="s">
        <v>14</v>
      </c>
      <c r="E1791" t="s">
        <v>133</v>
      </c>
      <c r="F1791" t="s">
        <v>133</v>
      </c>
      <c r="G1791" t="s">
        <v>133</v>
      </c>
      <c r="H1791" t="s">
        <v>133</v>
      </c>
      <c r="I1791" t="s">
        <v>133</v>
      </c>
      <c r="K1791" t="s">
        <v>5427</v>
      </c>
      <c r="O1791" t="s">
        <v>161</v>
      </c>
    </row>
    <row r="1792" spans="1:20" x14ac:dyDescent="0.2">
      <c r="A1792" t="s">
        <v>5428</v>
      </c>
      <c r="B1792" t="s">
        <v>5429</v>
      </c>
      <c r="C1792" t="s">
        <v>5430</v>
      </c>
      <c r="D1792" t="s">
        <v>14</v>
      </c>
      <c r="E1792" t="s">
        <v>133</v>
      </c>
      <c r="F1792" t="s">
        <v>133</v>
      </c>
      <c r="G1792" t="s">
        <v>133</v>
      </c>
      <c r="H1792" t="s">
        <v>133</v>
      </c>
      <c r="I1792" t="s">
        <v>133</v>
      </c>
      <c r="K1792" t="s">
        <v>5431</v>
      </c>
      <c r="O1792" t="s">
        <v>161</v>
      </c>
    </row>
    <row r="1793" spans="1:20" x14ac:dyDescent="0.2">
      <c r="A1793" t="s">
        <v>5432</v>
      </c>
      <c r="B1793" t="s">
        <v>5433</v>
      </c>
      <c r="C1793" t="s">
        <v>5434</v>
      </c>
      <c r="D1793" t="s">
        <v>24</v>
      </c>
      <c r="E1793" t="s">
        <v>133</v>
      </c>
      <c r="O1793" t="s">
        <v>511</v>
      </c>
      <c r="Q1793" t="s">
        <v>5435</v>
      </c>
      <c r="R1793" t="s">
        <v>4851</v>
      </c>
      <c r="S1793" t="s">
        <v>4852</v>
      </c>
      <c r="T1793" t="s">
        <v>1663</v>
      </c>
    </row>
    <row r="1794" spans="1:20" x14ac:dyDescent="0.2">
      <c r="A1794" t="s">
        <v>5436</v>
      </c>
      <c r="B1794" t="s">
        <v>5437</v>
      </c>
      <c r="C1794" t="s">
        <v>5438</v>
      </c>
      <c r="D1794" t="s">
        <v>24</v>
      </c>
      <c r="E1794" t="s">
        <v>133</v>
      </c>
      <c r="F1794" t="s">
        <v>133</v>
      </c>
      <c r="G1794" t="s">
        <v>133</v>
      </c>
      <c r="H1794" t="s">
        <v>133</v>
      </c>
      <c r="I1794" t="s">
        <v>133</v>
      </c>
      <c r="O1794" t="s">
        <v>161</v>
      </c>
      <c r="Q1794" t="s">
        <v>5439</v>
      </c>
      <c r="R1794" t="s">
        <v>4851</v>
      </c>
      <c r="S1794" t="s">
        <v>4852</v>
      </c>
      <c r="T1794" t="s">
        <v>1663</v>
      </c>
    </row>
    <row r="1795" spans="1:20" x14ac:dyDescent="0.2">
      <c r="A1795" t="s">
        <v>5440</v>
      </c>
      <c r="B1795" t="s">
        <v>5441</v>
      </c>
      <c r="C1795" t="s">
        <v>5442</v>
      </c>
      <c r="D1795" t="s">
        <v>24</v>
      </c>
      <c r="E1795" t="s">
        <v>133</v>
      </c>
      <c r="F1795" t="s">
        <v>133</v>
      </c>
      <c r="G1795" t="s">
        <v>133</v>
      </c>
      <c r="H1795" t="s">
        <v>133</v>
      </c>
      <c r="I1795" t="s">
        <v>133</v>
      </c>
      <c r="O1795" t="s">
        <v>161</v>
      </c>
      <c r="R1795" t="s">
        <v>1677</v>
      </c>
      <c r="S1795" t="s">
        <v>1678</v>
      </c>
      <c r="T1795" t="s">
        <v>1663</v>
      </c>
    </row>
    <row r="1796" spans="1:20" x14ac:dyDescent="0.2">
      <c r="A1796" t="s">
        <v>5443</v>
      </c>
      <c r="B1796" t="s">
        <v>5444</v>
      </c>
      <c r="C1796" t="s">
        <v>5445</v>
      </c>
      <c r="D1796" t="s">
        <v>24</v>
      </c>
      <c r="E1796" t="s">
        <v>133</v>
      </c>
      <c r="F1796" t="s">
        <v>133</v>
      </c>
      <c r="G1796" t="s">
        <v>133</v>
      </c>
      <c r="H1796" t="s">
        <v>133</v>
      </c>
      <c r="I1796" t="s">
        <v>133</v>
      </c>
      <c r="O1796" t="s">
        <v>161</v>
      </c>
      <c r="R1796" t="s">
        <v>1677</v>
      </c>
      <c r="S1796" t="s">
        <v>1678</v>
      </c>
      <c r="T1796" t="s">
        <v>1663</v>
      </c>
    </row>
    <row r="1797" spans="1:20" x14ac:dyDescent="0.2">
      <c r="A1797" t="s">
        <v>5446</v>
      </c>
      <c r="B1797" t="s">
        <v>5447</v>
      </c>
      <c r="C1797" t="s">
        <v>5448</v>
      </c>
      <c r="D1797" t="s">
        <v>24</v>
      </c>
      <c r="E1797" t="s">
        <v>505</v>
      </c>
      <c r="F1797" t="s">
        <v>133</v>
      </c>
      <c r="G1797" t="s">
        <v>133</v>
      </c>
      <c r="H1797" t="s">
        <v>133</v>
      </c>
      <c r="I1797" t="s">
        <v>133</v>
      </c>
      <c r="O1797" t="s">
        <v>161</v>
      </c>
      <c r="R1797" t="s">
        <v>1219</v>
      </c>
      <c r="S1797" t="s">
        <v>1220</v>
      </c>
      <c r="T1797" t="s">
        <v>1663</v>
      </c>
    </row>
    <row r="1798" spans="1:20" x14ac:dyDescent="0.2">
      <c r="A1798" t="s">
        <v>5446</v>
      </c>
      <c r="B1798" t="s">
        <v>5447</v>
      </c>
      <c r="C1798" t="s">
        <v>5448</v>
      </c>
      <c r="D1798" t="s">
        <v>14</v>
      </c>
      <c r="E1798" t="s">
        <v>255</v>
      </c>
      <c r="F1798" t="s">
        <v>133</v>
      </c>
      <c r="G1798" t="s">
        <v>133</v>
      </c>
      <c r="H1798" t="s">
        <v>133</v>
      </c>
      <c r="I1798" t="s">
        <v>133</v>
      </c>
      <c r="K1798" t="s">
        <v>5418</v>
      </c>
      <c r="O1798" t="s">
        <v>161</v>
      </c>
    </row>
    <row r="1799" spans="1:20" x14ac:dyDescent="0.2">
      <c r="A1799" t="s">
        <v>5449</v>
      </c>
      <c r="B1799" t="s">
        <v>5450</v>
      </c>
      <c r="C1799" t="s">
        <v>5451</v>
      </c>
      <c r="D1799" t="s">
        <v>14</v>
      </c>
      <c r="E1799" t="s">
        <v>133</v>
      </c>
      <c r="F1799" t="s">
        <v>133</v>
      </c>
      <c r="G1799" t="s">
        <v>133</v>
      </c>
      <c r="H1799" t="s">
        <v>133</v>
      </c>
      <c r="I1799" t="s">
        <v>133</v>
      </c>
      <c r="K1799" t="s">
        <v>5452</v>
      </c>
      <c r="O1799" t="s">
        <v>161</v>
      </c>
    </row>
    <row r="1800" spans="1:20" x14ac:dyDescent="0.2">
      <c r="A1800" t="s">
        <v>5453</v>
      </c>
      <c r="B1800" t="s">
        <v>5454</v>
      </c>
      <c r="C1800" t="s">
        <v>5455</v>
      </c>
      <c r="D1800" t="s">
        <v>14</v>
      </c>
      <c r="E1800" t="s">
        <v>133</v>
      </c>
      <c r="F1800" t="s">
        <v>133</v>
      </c>
      <c r="G1800" t="s">
        <v>133</v>
      </c>
      <c r="H1800" t="s">
        <v>133</v>
      </c>
      <c r="I1800" t="s">
        <v>133</v>
      </c>
      <c r="K1800" t="s">
        <v>5456</v>
      </c>
      <c r="O1800" t="s">
        <v>161</v>
      </c>
    </row>
    <row r="1801" spans="1:20" x14ac:dyDescent="0.2">
      <c r="A1801" t="s">
        <v>5457</v>
      </c>
      <c r="B1801" t="s">
        <v>5458</v>
      </c>
      <c r="C1801" t="s">
        <v>5459</v>
      </c>
      <c r="D1801" t="s">
        <v>24</v>
      </c>
      <c r="E1801" t="s">
        <v>133</v>
      </c>
      <c r="O1801" t="s">
        <v>511</v>
      </c>
      <c r="Q1801" t="s">
        <v>5460</v>
      </c>
      <c r="R1801" t="s">
        <v>1680</v>
      </c>
      <c r="S1801" t="s">
        <v>1658</v>
      </c>
      <c r="T1801" t="s">
        <v>1663</v>
      </c>
    </row>
    <row r="1802" spans="1:20" x14ac:dyDescent="0.2">
      <c r="A1802" t="s">
        <v>5461</v>
      </c>
      <c r="B1802" t="s">
        <v>5462</v>
      </c>
      <c r="C1802" t="s">
        <v>5463</v>
      </c>
      <c r="D1802" t="s">
        <v>14</v>
      </c>
      <c r="E1802" t="s">
        <v>133</v>
      </c>
      <c r="F1802" t="s">
        <v>133</v>
      </c>
      <c r="G1802" t="s">
        <v>133</v>
      </c>
      <c r="H1802" t="s">
        <v>133</v>
      </c>
      <c r="I1802" t="s">
        <v>133</v>
      </c>
      <c r="K1802" t="s">
        <v>5464</v>
      </c>
      <c r="O1802" t="s">
        <v>161</v>
      </c>
    </row>
    <row r="1803" spans="1:20" x14ac:dyDescent="0.2">
      <c r="A1803" t="s">
        <v>5465</v>
      </c>
      <c r="B1803" t="s">
        <v>5466</v>
      </c>
      <c r="C1803" t="s">
        <v>5467</v>
      </c>
      <c r="D1803" t="s">
        <v>24</v>
      </c>
      <c r="E1803" t="s">
        <v>133</v>
      </c>
      <c r="F1803" t="s">
        <v>133</v>
      </c>
      <c r="G1803" t="s">
        <v>133</v>
      </c>
      <c r="H1803" t="s">
        <v>133</v>
      </c>
      <c r="I1803" t="s">
        <v>133</v>
      </c>
      <c r="O1803" t="s">
        <v>511</v>
      </c>
      <c r="Q1803" t="s">
        <v>5468</v>
      </c>
      <c r="R1803" t="s">
        <v>1680</v>
      </c>
      <c r="S1803" t="s">
        <v>1658</v>
      </c>
      <c r="T1803" t="s">
        <v>1663</v>
      </c>
    </row>
    <row r="1804" spans="1:20" x14ac:dyDescent="0.2">
      <c r="A1804" t="s">
        <v>5469</v>
      </c>
      <c r="B1804" t="s">
        <v>5470</v>
      </c>
      <c r="C1804" t="s">
        <v>5471</v>
      </c>
      <c r="D1804" t="s">
        <v>14</v>
      </c>
      <c r="E1804" t="s">
        <v>133</v>
      </c>
      <c r="F1804" t="s">
        <v>133</v>
      </c>
      <c r="G1804" t="s">
        <v>133</v>
      </c>
      <c r="H1804" t="s">
        <v>133</v>
      </c>
      <c r="I1804" t="s">
        <v>133</v>
      </c>
      <c r="K1804" t="s">
        <v>5472</v>
      </c>
      <c r="O1804" t="s">
        <v>161</v>
      </c>
    </row>
    <row r="1805" spans="1:20" x14ac:dyDescent="0.2">
      <c r="A1805" t="s">
        <v>5473</v>
      </c>
      <c r="B1805" t="s">
        <v>5474</v>
      </c>
      <c r="C1805" t="s">
        <v>5475</v>
      </c>
      <c r="D1805" t="s">
        <v>35</v>
      </c>
      <c r="E1805" t="s">
        <v>505</v>
      </c>
      <c r="F1805" t="s">
        <v>133</v>
      </c>
      <c r="G1805" t="s">
        <v>133</v>
      </c>
      <c r="H1805" t="s">
        <v>4818</v>
      </c>
      <c r="I1805" t="s">
        <v>133</v>
      </c>
      <c r="O1805" t="s">
        <v>511</v>
      </c>
      <c r="Q1805" t="s">
        <v>5476</v>
      </c>
      <c r="R1805" t="s">
        <v>1682</v>
      </c>
      <c r="S1805" t="s">
        <v>1683</v>
      </c>
      <c r="T1805" t="s">
        <v>1663</v>
      </c>
    </row>
    <row r="1806" spans="1:20" x14ac:dyDescent="0.2">
      <c r="A1806" t="s">
        <v>5473</v>
      </c>
      <c r="B1806" t="s">
        <v>5474</v>
      </c>
      <c r="C1806" t="s">
        <v>5475</v>
      </c>
      <c r="D1806" t="s">
        <v>35</v>
      </c>
      <c r="E1806" t="s">
        <v>505</v>
      </c>
      <c r="F1806" t="s">
        <v>133</v>
      </c>
      <c r="G1806" t="s">
        <v>133</v>
      </c>
      <c r="H1806" t="s">
        <v>1684</v>
      </c>
      <c r="I1806" t="s">
        <v>133</v>
      </c>
      <c r="O1806" t="s">
        <v>511</v>
      </c>
      <c r="Q1806" t="s">
        <v>5476</v>
      </c>
      <c r="R1806" t="s">
        <v>1685</v>
      </c>
      <c r="S1806" t="s">
        <v>1686</v>
      </c>
      <c r="T1806" t="s">
        <v>1663</v>
      </c>
    </row>
    <row r="1807" spans="1:20" x14ac:dyDescent="0.2">
      <c r="A1807" t="s">
        <v>5473</v>
      </c>
      <c r="B1807" t="s">
        <v>5474</v>
      </c>
      <c r="C1807" t="s">
        <v>5475</v>
      </c>
      <c r="D1807" t="s">
        <v>14</v>
      </c>
      <c r="E1807" t="s">
        <v>255</v>
      </c>
      <c r="F1807" t="s">
        <v>133</v>
      </c>
      <c r="G1807" t="s">
        <v>133</v>
      </c>
      <c r="H1807" t="s">
        <v>133</v>
      </c>
      <c r="I1807" t="s">
        <v>133</v>
      </c>
      <c r="K1807" t="s">
        <v>5477</v>
      </c>
      <c r="O1807" t="s">
        <v>511</v>
      </c>
      <c r="Q1807" t="s">
        <v>5476</v>
      </c>
    </row>
    <row r="1808" spans="1:20" x14ac:dyDescent="0.2">
      <c r="A1808" t="s">
        <v>5478</v>
      </c>
      <c r="B1808" t="s">
        <v>5479</v>
      </c>
      <c r="C1808" t="s">
        <v>5480</v>
      </c>
      <c r="D1808" t="s">
        <v>14</v>
      </c>
      <c r="E1808" t="s">
        <v>133</v>
      </c>
      <c r="H1808" t="s">
        <v>133</v>
      </c>
      <c r="K1808" t="s">
        <v>5481</v>
      </c>
      <c r="L1808" t="s">
        <v>160</v>
      </c>
      <c r="O1808" t="s">
        <v>161</v>
      </c>
    </row>
    <row r="1809" spans="1:20" x14ac:dyDescent="0.2">
      <c r="A1809" t="s">
        <v>5482</v>
      </c>
      <c r="B1809" t="s">
        <v>5483</v>
      </c>
      <c r="C1809" t="s">
        <v>5484</v>
      </c>
      <c r="D1809" t="s">
        <v>14</v>
      </c>
      <c r="E1809" t="s">
        <v>133</v>
      </c>
      <c r="F1809" t="s">
        <v>133</v>
      </c>
      <c r="G1809" t="s">
        <v>133</v>
      </c>
      <c r="H1809" t="s">
        <v>4219</v>
      </c>
      <c r="I1809" t="s">
        <v>133</v>
      </c>
      <c r="K1809" t="s">
        <v>5485</v>
      </c>
      <c r="O1809" t="s">
        <v>161</v>
      </c>
    </row>
    <row r="1810" spans="1:20" x14ac:dyDescent="0.2">
      <c r="A1810" t="s">
        <v>5486</v>
      </c>
      <c r="B1810" t="s">
        <v>5450</v>
      </c>
      <c r="C1810" t="s">
        <v>5485</v>
      </c>
      <c r="D1810" t="s">
        <v>24</v>
      </c>
      <c r="E1810" t="s">
        <v>133</v>
      </c>
      <c r="F1810" t="s">
        <v>133</v>
      </c>
      <c r="G1810" t="s">
        <v>133</v>
      </c>
      <c r="H1810" t="s">
        <v>133</v>
      </c>
      <c r="I1810" t="s">
        <v>133</v>
      </c>
      <c r="M1810" t="s">
        <v>291</v>
      </c>
      <c r="O1810" t="s">
        <v>161</v>
      </c>
      <c r="T1810" t="s">
        <v>1663</v>
      </c>
    </row>
    <row r="1811" spans="1:20" x14ac:dyDescent="0.2">
      <c r="A1811" t="s">
        <v>5487</v>
      </c>
      <c r="B1811" t="s">
        <v>5488</v>
      </c>
      <c r="C1811" t="s">
        <v>5489</v>
      </c>
      <c r="D1811" t="s">
        <v>14</v>
      </c>
      <c r="E1811" t="s">
        <v>133</v>
      </c>
      <c r="H1811" t="s">
        <v>133</v>
      </c>
      <c r="K1811" t="s">
        <v>5490</v>
      </c>
      <c r="L1811" t="s">
        <v>160</v>
      </c>
      <c r="O1811" t="s">
        <v>161</v>
      </c>
    </row>
    <row r="1812" spans="1:20" x14ac:dyDescent="0.2">
      <c r="A1812" t="s">
        <v>5491</v>
      </c>
      <c r="B1812" t="s">
        <v>5492</v>
      </c>
      <c r="C1812" t="s">
        <v>5493</v>
      </c>
      <c r="D1812" t="s">
        <v>14</v>
      </c>
      <c r="E1812" t="s">
        <v>133</v>
      </c>
      <c r="F1812" t="s">
        <v>133</v>
      </c>
      <c r="G1812" t="s">
        <v>133</v>
      </c>
      <c r="H1812" t="s">
        <v>133</v>
      </c>
      <c r="I1812" t="s">
        <v>133</v>
      </c>
      <c r="K1812" t="s">
        <v>5494</v>
      </c>
      <c r="O1812" t="s">
        <v>161</v>
      </c>
    </row>
    <row r="1813" spans="1:20" x14ac:dyDescent="0.2">
      <c r="A1813" t="s">
        <v>5495</v>
      </c>
      <c r="B1813" t="s">
        <v>5496</v>
      </c>
      <c r="C1813" t="s">
        <v>5497</v>
      </c>
      <c r="D1813" t="s">
        <v>14</v>
      </c>
      <c r="E1813" t="s">
        <v>133</v>
      </c>
      <c r="F1813" t="s">
        <v>133</v>
      </c>
      <c r="G1813" t="s">
        <v>133</v>
      </c>
      <c r="H1813" t="s">
        <v>133</v>
      </c>
      <c r="I1813" t="s">
        <v>133</v>
      </c>
      <c r="K1813" t="s">
        <v>5498</v>
      </c>
      <c r="O1813" t="s">
        <v>161</v>
      </c>
    </row>
    <row r="1814" spans="1:20" x14ac:dyDescent="0.2">
      <c r="A1814" t="s">
        <v>5499</v>
      </c>
      <c r="B1814" t="s">
        <v>5500</v>
      </c>
      <c r="C1814" t="s">
        <v>5501</v>
      </c>
      <c r="D1814" t="s">
        <v>24</v>
      </c>
      <c r="E1814" t="s">
        <v>133</v>
      </c>
      <c r="O1814" t="s">
        <v>511</v>
      </c>
      <c r="Q1814" t="s">
        <v>5502</v>
      </c>
      <c r="R1814" t="s">
        <v>4851</v>
      </c>
      <c r="S1814" t="s">
        <v>4852</v>
      </c>
      <c r="T1814" t="s">
        <v>1663</v>
      </c>
    </row>
    <row r="1815" spans="1:20" x14ac:dyDescent="0.2">
      <c r="A1815" t="s">
        <v>5503</v>
      </c>
      <c r="B1815" t="s">
        <v>5504</v>
      </c>
      <c r="C1815" t="s">
        <v>5505</v>
      </c>
      <c r="D1815" t="s">
        <v>24</v>
      </c>
      <c r="E1815" t="s">
        <v>133</v>
      </c>
      <c r="F1815" t="s">
        <v>133</v>
      </c>
      <c r="G1815" t="s">
        <v>133</v>
      </c>
      <c r="H1815" t="s">
        <v>133</v>
      </c>
      <c r="I1815" t="s">
        <v>133</v>
      </c>
      <c r="O1815" t="s">
        <v>161</v>
      </c>
      <c r="Q1815" t="s">
        <v>5506</v>
      </c>
      <c r="R1815" t="s">
        <v>4851</v>
      </c>
      <c r="S1815" t="s">
        <v>4852</v>
      </c>
      <c r="T1815" t="s">
        <v>1663</v>
      </c>
    </row>
    <row r="1816" spans="1:20" x14ac:dyDescent="0.2">
      <c r="A1816" t="s">
        <v>5507</v>
      </c>
      <c r="B1816" t="s">
        <v>5508</v>
      </c>
      <c r="C1816" t="s">
        <v>5509</v>
      </c>
      <c r="D1816" t="s">
        <v>24</v>
      </c>
      <c r="E1816" t="s">
        <v>133</v>
      </c>
      <c r="F1816" t="s">
        <v>133</v>
      </c>
      <c r="G1816" t="s">
        <v>133</v>
      </c>
      <c r="H1816" t="s">
        <v>133</v>
      </c>
      <c r="I1816" t="s">
        <v>133</v>
      </c>
      <c r="O1816" t="s">
        <v>161</v>
      </c>
      <c r="R1816" t="s">
        <v>1677</v>
      </c>
      <c r="S1816" t="s">
        <v>1678</v>
      </c>
      <c r="T1816" t="s">
        <v>1663</v>
      </c>
    </row>
    <row r="1817" spans="1:20" x14ac:dyDescent="0.2">
      <c r="A1817" t="s">
        <v>5510</v>
      </c>
      <c r="B1817" t="s">
        <v>5511</v>
      </c>
      <c r="C1817" t="s">
        <v>5512</v>
      </c>
      <c r="D1817" t="s">
        <v>24</v>
      </c>
      <c r="E1817" t="s">
        <v>133</v>
      </c>
      <c r="F1817" t="s">
        <v>133</v>
      </c>
      <c r="G1817" t="s">
        <v>133</v>
      </c>
      <c r="H1817" t="s">
        <v>133</v>
      </c>
      <c r="I1817" t="s">
        <v>133</v>
      </c>
      <c r="O1817" t="s">
        <v>161</v>
      </c>
      <c r="R1817" t="s">
        <v>1677</v>
      </c>
      <c r="S1817" t="s">
        <v>1678</v>
      </c>
      <c r="T1817" t="s">
        <v>1663</v>
      </c>
    </row>
    <row r="1818" spans="1:20" x14ac:dyDescent="0.2">
      <c r="A1818" t="s">
        <v>5513</v>
      </c>
      <c r="B1818" t="s">
        <v>5514</v>
      </c>
      <c r="C1818" t="s">
        <v>5515</v>
      </c>
      <c r="D1818" t="s">
        <v>24</v>
      </c>
      <c r="E1818" t="s">
        <v>505</v>
      </c>
      <c r="F1818" t="s">
        <v>133</v>
      </c>
      <c r="G1818" t="s">
        <v>133</v>
      </c>
      <c r="H1818" t="s">
        <v>133</v>
      </c>
      <c r="I1818" t="s">
        <v>133</v>
      </c>
      <c r="O1818" t="s">
        <v>161</v>
      </c>
      <c r="R1818" t="s">
        <v>1219</v>
      </c>
      <c r="S1818" t="s">
        <v>1220</v>
      </c>
      <c r="T1818" t="s">
        <v>1663</v>
      </c>
    </row>
    <row r="1819" spans="1:20" x14ac:dyDescent="0.2">
      <c r="A1819" t="s">
        <v>5513</v>
      </c>
      <c r="B1819" t="s">
        <v>5514</v>
      </c>
      <c r="C1819" t="s">
        <v>5515</v>
      </c>
      <c r="D1819" t="s">
        <v>14</v>
      </c>
      <c r="E1819" t="s">
        <v>255</v>
      </c>
      <c r="F1819" t="s">
        <v>133</v>
      </c>
      <c r="G1819" t="s">
        <v>133</v>
      </c>
      <c r="H1819" t="s">
        <v>133</v>
      </c>
      <c r="I1819" t="s">
        <v>133</v>
      </c>
      <c r="K1819" t="s">
        <v>5485</v>
      </c>
      <c r="O1819" t="s">
        <v>161</v>
      </c>
    </row>
    <row r="1820" spans="1:20" x14ac:dyDescent="0.2">
      <c r="A1820" t="s">
        <v>5516</v>
      </c>
      <c r="B1820" t="s">
        <v>5517</v>
      </c>
      <c r="C1820" t="s">
        <v>5518</v>
      </c>
      <c r="D1820" t="s">
        <v>14</v>
      </c>
      <c r="E1820" t="s">
        <v>133</v>
      </c>
      <c r="F1820" t="s">
        <v>133</v>
      </c>
      <c r="G1820" t="s">
        <v>133</v>
      </c>
      <c r="H1820" t="s">
        <v>133</v>
      </c>
      <c r="I1820" t="s">
        <v>133</v>
      </c>
      <c r="K1820" t="s">
        <v>5519</v>
      </c>
      <c r="O1820" t="s">
        <v>161</v>
      </c>
    </row>
    <row r="1821" spans="1:20" x14ac:dyDescent="0.2">
      <c r="A1821" t="s">
        <v>5520</v>
      </c>
      <c r="B1821" t="s">
        <v>5521</v>
      </c>
      <c r="C1821" t="s">
        <v>5522</v>
      </c>
      <c r="D1821" t="s">
        <v>14</v>
      </c>
      <c r="E1821" t="s">
        <v>133</v>
      </c>
      <c r="F1821" t="s">
        <v>133</v>
      </c>
      <c r="G1821" t="s">
        <v>133</v>
      </c>
      <c r="H1821" t="s">
        <v>133</v>
      </c>
      <c r="I1821" t="s">
        <v>133</v>
      </c>
      <c r="K1821" t="s">
        <v>5523</v>
      </c>
      <c r="O1821" t="s">
        <v>161</v>
      </c>
    </row>
    <row r="1822" spans="1:20" x14ac:dyDescent="0.2">
      <c r="A1822" t="s">
        <v>5524</v>
      </c>
      <c r="B1822" t="s">
        <v>5525</v>
      </c>
      <c r="C1822" t="s">
        <v>5526</v>
      </c>
      <c r="D1822" t="s">
        <v>24</v>
      </c>
      <c r="E1822" t="s">
        <v>133</v>
      </c>
      <c r="O1822" t="s">
        <v>511</v>
      </c>
      <c r="Q1822" t="s">
        <v>5527</v>
      </c>
      <c r="R1822" t="s">
        <v>1680</v>
      </c>
      <c r="S1822" t="s">
        <v>1658</v>
      </c>
      <c r="T1822" t="s">
        <v>1663</v>
      </c>
    </row>
    <row r="1823" spans="1:20" x14ac:dyDescent="0.2">
      <c r="A1823" t="s">
        <v>5528</v>
      </c>
      <c r="B1823" t="s">
        <v>5529</v>
      </c>
      <c r="C1823" t="s">
        <v>5530</v>
      </c>
      <c r="D1823" t="s">
        <v>14</v>
      </c>
      <c r="E1823" t="s">
        <v>133</v>
      </c>
      <c r="F1823" t="s">
        <v>133</v>
      </c>
      <c r="G1823" t="s">
        <v>133</v>
      </c>
      <c r="H1823" t="s">
        <v>133</v>
      </c>
      <c r="I1823" t="s">
        <v>133</v>
      </c>
      <c r="K1823" t="s">
        <v>5531</v>
      </c>
      <c r="O1823" t="s">
        <v>161</v>
      </c>
    </row>
    <row r="1824" spans="1:20" x14ac:dyDescent="0.2">
      <c r="A1824" t="s">
        <v>5532</v>
      </c>
      <c r="B1824" t="s">
        <v>5533</v>
      </c>
      <c r="C1824" t="s">
        <v>5534</v>
      </c>
      <c r="D1824" t="s">
        <v>24</v>
      </c>
      <c r="E1824" t="s">
        <v>133</v>
      </c>
      <c r="F1824" t="s">
        <v>133</v>
      </c>
      <c r="G1824" t="s">
        <v>133</v>
      </c>
      <c r="H1824" t="s">
        <v>133</v>
      </c>
      <c r="I1824" t="s">
        <v>133</v>
      </c>
      <c r="O1824" t="s">
        <v>511</v>
      </c>
      <c r="Q1824" t="s">
        <v>5535</v>
      </c>
      <c r="R1824" t="s">
        <v>1680</v>
      </c>
      <c r="S1824" t="s">
        <v>1658</v>
      </c>
      <c r="T1824" t="s">
        <v>1663</v>
      </c>
    </row>
    <row r="1825" spans="1:20" x14ac:dyDescent="0.2">
      <c r="A1825" t="s">
        <v>5536</v>
      </c>
      <c r="B1825" t="s">
        <v>5537</v>
      </c>
      <c r="C1825" t="s">
        <v>5538</v>
      </c>
      <c r="D1825" t="s">
        <v>14</v>
      </c>
      <c r="E1825" t="s">
        <v>133</v>
      </c>
      <c r="F1825" t="s">
        <v>133</v>
      </c>
      <c r="G1825" t="s">
        <v>133</v>
      </c>
      <c r="H1825" t="s">
        <v>133</v>
      </c>
      <c r="I1825" t="s">
        <v>133</v>
      </c>
      <c r="K1825" t="s">
        <v>5539</v>
      </c>
      <c r="O1825" t="s">
        <v>161</v>
      </c>
    </row>
    <row r="1826" spans="1:20" x14ac:dyDescent="0.2">
      <c r="A1826" t="s">
        <v>5540</v>
      </c>
      <c r="B1826" t="s">
        <v>5541</v>
      </c>
      <c r="C1826" t="s">
        <v>5542</v>
      </c>
      <c r="D1826" t="s">
        <v>35</v>
      </c>
      <c r="E1826" t="s">
        <v>505</v>
      </c>
      <c r="F1826" t="s">
        <v>133</v>
      </c>
      <c r="G1826" t="s">
        <v>133</v>
      </c>
      <c r="H1826" t="s">
        <v>4818</v>
      </c>
      <c r="I1826" t="s">
        <v>133</v>
      </c>
      <c r="O1826" t="s">
        <v>511</v>
      </c>
      <c r="Q1826" t="s">
        <v>5543</v>
      </c>
      <c r="R1826" t="s">
        <v>1682</v>
      </c>
      <c r="S1826" t="s">
        <v>1683</v>
      </c>
      <c r="T1826" t="s">
        <v>1663</v>
      </c>
    </row>
    <row r="1827" spans="1:20" x14ac:dyDescent="0.2">
      <c r="A1827" t="s">
        <v>5540</v>
      </c>
      <c r="B1827" t="s">
        <v>5541</v>
      </c>
      <c r="C1827" t="s">
        <v>5542</v>
      </c>
      <c r="D1827" t="s">
        <v>35</v>
      </c>
      <c r="E1827" t="s">
        <v>505</v>
      </c>
      <c r="F1827" t="s">
        <v>133</v>
      </c>
      <c r="G1827" t="s">
        <v>133</v>
      </c>
      <c r="H1827" t="s">
        <v>1684</v>
      </c>
      <c r="I1827" t="s">
        <v>133</v>
      </c>
      <c r="O1827" t="s">
        <v>511</v>
      </c>
      <c r="Q1827" t="s">
        <v>5543</v>
      </c>
      <c r="R1827" t="s">
        <v>1685</v>
      </c>
      <c r="S1827" t="s">
        <v>1686</v>
      </c>
      <c r="T1827" t="s">
        <v>1663</v>
      </c>
    </row>
    <row r="1828" spans="1:20" x14ac:dyDescent="0.2">
      <c r="A1828" t="s">
        <v>5540</v>
      </c>
      <c r="B1828" t="s">
        <v>5541</v>
      </c>
      <c r="C1828" t="s">
        <v>5542</v>
      </c>
      <c r="D1828" t="s">
        <v>14</v>
      </c>
      <c r="E1828" t="s">
        <v>255</v>
      </c>
      <c r="F1828" t="s">
        <v>133</v>
      </c>
      <c r="G1828" t="s">
        <v>133</v>
      </c>
      <c r="H1828" t="s">
        <v>133</v>
      </c>
      <c r="I1828" t="s">
        <v>133</v>
      </c>
      <c r="K1828" t="s">
        <v>5544</v>
      </c>
      <c r="O1828" t="s">
        <v>511</v>
      </c>
      <c r="Q1828" t="s">
        <v>5543</v>
      </c>
    </row>
    <row r="1829" spans="1:20" x14ac:dyDescent="0.2">
      <c r="A1829" t="s">
        <v>5545</v>
      </c>
      <c r="B1829" t="s">
        <v>5546</v>
      </c>
      <c r="C1829" t="s">
        <v>5547</v>
      </c>
      <c r="D1829" t="s">
        <v>14</v>
      </c>
      <c r="E1829" t="s">
        <v>133</v>
      </c>
      <c r="H1829" t="s">
        <v>133</v>
      </c>
      <c r="K1829" t="s">
        <v>5548</v>
      </c>
      <c r="L1829" t="s">
        <v>160</v>
      </c>
      <c r="O1829" t="s">
        <v>161</v>
      </c>
    </row>
    <row r="1830" spans="1:20" x14ac:dyDescent="0.2">
      <c r="A1830" t="s">
        <v>5549</v>
      </c>
      <c r="B1830" t="s">
        <v>5550</v>
      </c>
      <c r="C1830" t="s">
        <v>5551</v>
      </c>
      <c r="D1830" t="s">
        <v>14</v>
      </c>
      <c r="E1830" t="s">
        <v>133</v>
      </c>
      <c r="F1830" t="s">
        <v>133</v>
      </c>
      <c r="G1830" t="s">
        <v>133</v>
      </c>
      <c r="H1830" t="s">
        <v>4219</v>
      </c>
      <c r="I1830" t="s">
        <v>133</v>
      </c>
      <c r="K1830" t="s">
        <v>5552</v>
      </c>
      <c r="O1830" t="s">
        <v>161</v>
      </c>
    </row>
    <row r="1831" spans="1:20" x14ac:dyDescent="0.2">
      <c r="A1831" t="s">
        <v>5553</v>
      </c>
      <c r="B1831" t="s">
        <v>5517</v>
      </c>
      <c r="C1831" t="s">
        <v>5552</v>
      </c>
      <c r="D1831" t="s">
        <v>24</v>
      </c>
      <c r="E1831" t="s">
        <v>133</v>
      </c>
      <c r="F1831" t="s">
        <v>133</v>
      </c>
      <c r="G1831" t="s">
        <v>133</v>
      </c>
      <c r="H1831" t="s">
        <v>133</v>
      </c>
      <c r="I1831" t="s">
        <v>133</v>
      </c>
      <c r="M1831" t="s">
        <v>291</v>
      </c>
      <c r="O1831" t="s">
        <v>161</v>
      </c>
      <c r="T1831" t="s">
        <v>1663</v>
      </c>
    </row>
    <row r="1832" spans="1:20" x14ac:dyDescent="0.2">
      <c r="A1832" t="s">
        <v>5554</v>
      </c>
      <c r="B1832" t="s">
        <v>5555</v>
      </c>
      <c r="C1832" t="s">
        <v>5556</v>
      </c>
      <c r="D1832" t="s">
        <v>14</v>
      </c>
      <c r="E1832" t="s">
        <v>133</v>
      </c>
      <c r="H1832" t="s">
        <v>133</v>
      </c>
      <c r="K1832" t="s">
        <v>5557</v>
      </c>
      <c r="L1832" t="s">
        <v>160</v>
      </c>
      <c r="O1832" t="s">
        <v>161</v>
      </c>
    </row>
    <row r="1833" spans="1:20" x14ac:dyDescent="0.2">
      <c r="A1833" t="s">
        <v>5558</v>
      </c>
      <c r="B1833" t="s">
        <v>5559</v>
      </c>
      <c r="C1833" t="s">
        <v>5560</v>
      </c>
      <c r="D1833" t="s">
        <v>14</v>
      </c>
      <c r="E1833" t="s">
        <v>133</v>
      </c>
      <c r="F1833" t="s">
        <v>133</v>
      </c>
      <c r="G1833" t="s">
        <v>133</v>
      </c>
      <c r="H1833" t="s">
        <v>133</v>
      </c>
      <c r="I1833" t="s">
        <v>133</v>
      </c>
      <c r="K1833" t="s">
        <v>5561</v>
      </c>
      <c r="O1833" t="s">
        <v>161</v>
      </c>
    </row>
    <row r="1834" spans="1:20" x14ac:dyDescent="0.2">
      <c r="A1834" t="s">
        <v>5562</v>
      </c>
      <c r="B1834" t="s">
        <v>5563</v>
      </c>
      <c r="C1834" t="s">
        <v>5564</v>
      </c>
      <c r="D1834" t="s">
        <v>14</v>
      </c>
      <c r="E1834" t="s">
        <v>133</v>
      </c>
      <c r="F1834" t="s">
        <v>133</v>
      </c>
      <c r="G1834" t="s">
        <v>133</v>
      </c>
      <c r="H1834" t="s">
        <v>133</v>
      </c>
      <c r="I1834" t="s">
        <v>133</v>
      </c>
      <c r="K1834" t="s">
        <v>5565</v>
      </c>
      <c r="O1834" t="s">
        <v>161</v>
      </c>
    </row>
    <row r="1835" spans="1:20" x14ac:dyDescent="0.2">
      <c r="A1835" t="s">
        <v>5566</v>
      </c>
      <c r="B1835" t="s">
        <v>5567</v>
      </c>
      <c r="C1835" t="s">
        <v>5568</v>
      </c>
      <c r="D1835" t="s">
        <v>24</v>
      </c>
      <c r="E1835" t="s">
        <v>133</v>
      </c>
      <c r="O1835" t="s">
        <v>511</v>
      </c>
      <c r="Q1835" t="s">
        <v>5569</v>
      </c>
      <c r="R1835" t="s">
        <v>4851</v>
      </c>
      <c r="S1835" t="s">
        <v>4852</v>
      </c>
      <c r="T1835" t="s">
        <v>1663</v>
      </c>
    </row>
    <row r="1836" spans="1:20" x14ac:dyDescent="0.2">
      <c r="A1836" t="s">
        <v>5570</v>
      </c>
      <c r="B1836" t="s">
        <v>5571</v>
      </c>
      <c r="C1836" t="s">
        <v>5572</v>
      </c>
      <c r="D1836" t="s">
        <v>24</v>
      </c>
      <c r="E1836" t="s">
        <v>133</v>
      </c>
      <c r="F1836" t="s">
        <v>133</v>
      </c>
      <c r="G1836" t="s">
        <v>133</v>
      </c>
      <c r="H1836" t="s">
        <v>133</v>
      </c>
      <c r="I1836" t="s">
        <v>133</v>
      </c>
      <c r="O1836" t="s">
        <v>161</v>
      </c>
      <c r="Q1836" t="s">
        <v>5573</v>
      </c>
      <c r="R1836" t="s">
        <v>4851</v>
      </c>
      <c r="S1836" t="s">
        <v>4852</v>
      </c>
      <c r="T1836" t="s">
        <v>1663</v>
      </c>
    </row>
    <row r="1837" spans="1:20" x14ac:dyDescent="0.2">
      <c r="A1837" t="s">
        <v>5574</v>
      </c>
      <c r="B1837" t="s">
        <v>5575</v>
      </c>
      <c r="C1837" t="s">
        <v>5576</v>
      </c>
      <c r="D1837" t="s">
        <v>24</v>
      </c>
      <c r="E1837" t="s">
        <v>133</v>
      </c>
      <c r="F1837" t="s">
        <v>133</v>
      </c>
      <c r="G1837" t="s">
        <v>133</v>
      </c>
      <c r="H1837" t="s">
        <v>133</v>
      </c>
      <c r="I1837" t="s">
        <v>133</v>
      </c>
      <c r="O1837" t="s">
        <v>161</v>
      </c>
      <c r="R1837" t="s">
        <v>1677</v>
      </c>
      <c r="S1837" t="s">
        <v>1678</v>
      </c>
      <c r="T1837" t="s">
        <v>1663</v>
      </c>
    </row>
    <row r="1838" spans="1:20" x14ac:dyDescent="0.2">
      <c r="A1838" t="s">
        <v>5577</v>
      </c>
      <c r="B1838" t="s">
        <v>5578</v>
      </c>
      <c r="C1838" t="s">
        <v>5579</v>
      </c>
      <c r="D1838" t="s">
        <v>24</v>
      </c>
      <c r="E1838" t="s">
        <v>133</v>
      </c>
      <c r="F1838" t="s">
        <v>133</v>
      </c>
      <c r="G1838" t="s">
        <v>133</v>
      </c>
      <c r="H1838" t="s">
        <v>133</v>
      </c>
      <c r="I1838" t="s">
        <v>133</v>
      </c>
      <c r="O1838" t="s">
        <v>161</v>
      </c>
      <c r="R1838" t="s">
        <v>1677</v>
      </c>
      <c r="S1838" t="s">
        <v>1678</v>
      </c>
      <c r="T1838" t="s">
        <v>1663</v>
      </c>
    </row>
    <row r="1839" spans="1:20" x14ac:dyDescent="0.2">
      <c r="A1839" t="s">
        <v>5580</v>
      </c>
      <c r="B1839" t="s">
        <v>5581</v>
      </c>
      <c r="C1839" t="s">
        <v>5582</v>
      </c>
      <c r="D1839" t="s">
        <v>24</v>
      </c>
      <c r="E1839" t="s">
        <v>505</v>
      </c>
      <c r="F1839" t="s">
        <v>133</v>
      </c>
      <c r="G1839" t="s">
        <v>133</v>
      </c>
      <c r="H1839" t="s">
        <v>133</v>
      </c>
      <c r="I1839" t="s">
        <v>133</v>
      </c>
      <c r="O1839" t="s">
        <v>161</v>
      </c>
      <c r="R1839" t="s">
        <v>1219</v>
      </c>
      <c r="S1839" t="s">
        <v>1220</v>
      </c>
      <c r="T1839" t="s">
        <v>1663</v>
      </c>
    </row>
    <row r="1840" spans="1:20" x14ac:dyDescent="0.2">
      <c r="A1840" t="s">
        <v>5580</v>
      </c>
      <c r="B1840" t="s">
        <v>5581</v>
      </c>
      <c r="C1840" t="s">
        <v>5582</v>
      </c>
      <c r="D1840" t="s">
        <v>14</v>
      </c>
      <c r="E1840" t="s">
        <v>255</v>
      </c>
      <c r="F1840" t="s">
        <v>133</v>
      </c>
      <c r="G1840" t="s">
        <v>133</v>
      </c>
      <c r="H1840" t="s">
        <v>133</v>
      </c>
      <c r="I1840" t="s">
        <v>133</v>
      </c>
      <c r="K1840" t="s">
        <v>5552</v>
      </c>
      <c r="O1840" t="s">
        <v>161</v>
      </c>
    </row>
    <row r="1841" spans="1:20" x14ac:dyDescent="0.2">
      <c r="A1841" t="s">
        <v>5583</v>
      </c>
      <c r="B1841" t="s">
        <v>5584</v>
      </c>
      <c r="C1841" t="s">
        <v>5585</v>
      </c>
      <c r="D1841" t="s">
        <v>14</v>
      </c>
      <c r="E1841" t="s">
        <v>133</v>
      </c>
      <c r="F1841" t="s">
        <v>133</v>
      </c>
      <c r="G1841" t="s">
        <v>133</v>
      </c>
      <c r="H1841" t="s">
        <v>133</v>
      </c>
      <c r="I1841" t="s">
        <v>133</v>
      </c>
      <c r="K1841" t="s">
        <v>5586</v>
      </c>
      <c r="O1841" t="s">
        <v>161</v>
      </c>
    </row>
    <row r="1842" spans="1:20" x14ac:dyDescent="0.2">
      <c r="A1842" t="s">
        <v>5587</v>
      </c>
      <c r="B1842" t="s">
        <v>5588</v>
      </c>
      <c r="C1842" t="s">
        <v>5589</v>
      </c>
      <c r="D1842" t="s">
        <v>14</v>
      </c>
      <c r="E1842" t="s">
        <v>133</v>
      </c>
      <c r="F1842" t="s">
        <v>133</v>
      </c>
      <c r="G1842" t="s">
        <v>133</v>
      </c>
      <c r="H1842" t="s">
        <v>133</v>
      </c>
      <c r="I1842" t="s">
        <v>133</v>
      </c>
      <c r="K1842" t="s">
        <v>5590</v>
      </c>
      <c r="O1842" t="s">
        <v>161</v>
      </c>
    </row>
    <row r="1843" spans="1:20" x14ac:dyDescent="0.2">
      <c r="A1843" t="s">
        <v>5591</v>
      </c>
      <c r="B1843" t="s">
        <v>5592</v>
      </c>
      <c r="C1843" t="s">
        <v>5593</v>
      </c>
      <c r="D1843" t="s">
        <v>24</v>
      </c>
      <c r="E1843" t="s">
        <v>133</v>
      </c>
      <c r="O1843" t="s">
        <v>511</v>
      </c>
      <c r="Q1843" t="s">
        <v>5594</v>
      </c>
      <c r="R1843" t="s">
        <v>1680</v>
      </c>
      <c r="S1843" t="s">
        <v>1658</v>
      </c>
      <c r="T1843" t="s">
        <v>1663</v>
      </c>
    </row>
    <row r="1844" spans="1:20" x14ac:dyDescent="0.2">
      <c r="A1844" t="s">
        <v>5595</v>
      </c>
      <c r="B1844" t="s">
        <v>5596</v>
      </c>
      <c r="C1844" t="s">
        <v>5597</v>
      </c>
      <c r="D1844" t="s">
        <v>14</v>
      </c>
      <c r="E1844" t="s">
        <v>133</v>
      </c>
      <c r="F1844" t="s">
        <v>133</v>
      </c>
      <c r="G1844" t="s">
        <v>133</v>
      </c>
      <c r="H1844" t="s">
        <v>133</v>
      </c>
      <c r="I1844" t="s">
        <v>133</v>
      </c>
      <c r="K1844" t="s">
        <v>5598</v>
      </c>
      <c r="O1844" t="s">
        <v>161</v>
      </c>
    </row>
    <row r="1845" spans="1:20" x14ac:dyDescent="0.2">
      <c r="A1845" t="s">
        <v>5599</v>
      </c>
      <c r="B1845" t="s">
        <v>5600</v>
      </c>
      <c r="C1845" t="s">
        <v>5601</v>
      </c>
      <c r="D1845" t="s">
        <v>24</v>
      </c>
      <c r="E1845" t="s">
        <v>133</v>
      </c>
      <c r="F1845" t="s">
        <v>133</v>
      </c>
      <c r="G1845" t="s">
        <v>133</v>
      </c>
      <c r="H1845" t="s">
        <v>133</v>
      </c>
      <c r="I1845" t="s">
        <v>133</v>
      </c>
      <c r="O1845" t="s">
        <v>511</v>
      </c>
      <c r="Q1845" t="s">
        <v>5602</v>
      </c>
      <c r="R1845" t="s">
        <v>1680</v>
      </c>
      <c r="S1845" t="s">
        <v>1658</v>
      </c>
      <c r="T1845" t="s">
        <v>1663</v>
      </c>
    </row>
    <row r="1846" spans="1:20" x14ac:dyDescent="0.2">
      <c r="A1846" t="s">
        <v>5603</v>
      </c>
      <c r="B1846" t="s">
        <v>5604</v>
      </c>
      <c r="C1846" t="s">
        <v>5605</v>
      </c>
      <c r="D1846" t="s">
        <v>14</v>
      </c>
      <c r="E1846" t="s">
        <v>133</v>
      </c>
      <c r="F1846" t="s">
        <v>133</v>
      </c>
      <c r="G1846" t="s">
        <v>133</v>
      </c>
      <c r="H1846" t="s">
        <v>133</v>
      </c>
      <c r="I1846" t="s">
        <v>133</v>
      </c>
      <c r="K1846" t="s">
        <v>5606</v>
      </c>
      <c r="O1846" t="s">
        <v>161</v>
      </c>
    </row>
    <row r="1847" spans="1:20" x14ac:dyDescent="0.2">
      <c r="A1847" t="s">
        <v>5607</v>
      </c>
      <c r="B1847" t="s">
        <v>5608</v>
      </c>
      <c r="C1847" t="s">
        <v>5609</v>
      </c>
      <c r="D1847" t="s">
        <v>35</v>
      </c>
      <c r="E1847" t="s">
        <v>505</v>
      </c>
      <c r="F1847" t="s">
        <v>133</v>
      </c>
      <c r="G1847" t="s">
        <v>133</v>
      </c>
      <c r="H1847" t="s">
        <v>4818</v>
      </c>
      <c r="I1847" t="s">
        <v>133</v>
      </c>
      <c r="O1847" t="s">
        <v>511</v>
      </c>
      <c r="Q1847" t="s">
        <v>5610</v>
      </c>
      <c r="R1847" t="s">
        <v>1682</v>
      </c>
      <c r="S1847" t="s">
        <v>1683</v>
      </c>
      <c r="T1847" t="s">
        <v>1663</v>
      </c>
    </row>
    <row r="1848" spans="1:20" x14ac:dyDescent="0.2">
      <c r="A1848" t="s">
        <v>5607</v>
      </c>
      <c r="B1848" t="s">
        <v>5608</v>
      </c>
      <c r="C1848" t="s">
        <v>5609</v>
      </c>
      <c r="D1848" t="s">
        <v>35</v>
      </c>
      <c r="E1848" t="s">
        <v>505</v>
      </c>
      <c r="F1848" t="s">
        <v>133</v>
      </c>
      <c r="G1848" t="s">
        <v>133</v>
      </c>
      <c r="H1848" t="s">
        <v>1684</v>
      </c>
      <c r="I1848" t="s">
        <v>133</v>
      </c>
      <c r="O1848" t="s">
        <v>511</v>
      </c>
      <c r="Q1848" t="s">
        <v>5610</v>
      </c>
      <c r="R1848" t="s">
        <v>1685</v>
      </c>
      <c r="S1848" t="s">
        <v>1686</v>
      </c>
      <c r="T1848" t="s">
        <v>1663</v>
      </c>
    </row>
    <row r="1849" spans="1:20" x14ac:dyDescent="0.2">
      <c r="A1849" t="s">
        <v>5607</v>
      </c>
      <c r="B1849" t="s">
        <v>5608</v>
      </c>
      <c r="C1849" t="s">
        <v>5609</v>
      </c>
      <c r="D1849" t="s">
        <v>14</v>
      </c>
      <c r="E1849" t="s">
        <v>255</v>
      </c>
      <c r="F1849" t="s">
        <v>133</v>
      </c>
      <c r="G1849" t="s">
        <v>133</v>
      </c>
      <c r="H1849" t="s">
        <v>133</v>
      </c>
      <c r="I1849" t="s">
        <v>133</v>
      </c>
      <c r="K1849" t="s">
        <v>5611</v>
      </c>
      <c r="O1849" t="s">
        <v>511</v>
      </c>
      <c r="Q1849" t="s">
        <v>5610</v>
      </c>
    </row>
    <row r="1850" spans="1:20" x14ac:dyDescent="0.2">
      <c r="A1850" t="s">
        <v>5612</v>
      </c>
      <c r="B1850" t="s">
        <v>5613</v>
      </c>
      <c r="C1850" t="s">
        <v>5614</v>
      </c>
      <c r="D1850" t="s">
        <v>14</v>
      </c>
      <c r="E1850" t="s">
        <v>133</v>
      </c>
      <c r="H1850" t="s">
        <v>133</v>
      </c>
      <c r="K1850" t="s">
        <v>5615</v>
      </c>
      <c r="L1850" t="s">
        <v>160</v>
      </c>
      <c r="O1850" t="s">
        <v>161</v>
      </c>
    </row>
    <row r="1851" spans="1:20" x14ac:dyDescent="0.2">
      <c r="A1851" t="s">
        <v>5616</v>
      </c>
      <c r="B1851" t="s">
        <v>5617</v>
      </c>
      <c r="C1851" t="s">
        <v>5618</v>
      </c>
      <c r="D1851" t="s">
        <v>14</v>
      </c>
      <c r="E1851" t="s">
        <v>133</v>
      </c>
      <c r="F1851" t="s">
        <v>133</v>
      </c>
      <c r="G1851" t="s">
        <v>133</v>
      </c>
      <c r="H1851" t="s">
        <v>4219</v>
      </c>
      <c r="I1851" t="s">
        <v>133</v>
      </c>
      <c r="K1851" t="s">
        <v>5619</v>
      </c>
      <c r="O1851" t="s">
        <v>161</v>
      </c>
    </row>
    <row r="1852" spans="1:20" x14ac:dyDescent="0.2">
      <c r="A1852" t="s">
        <v>5620</v>
      </c>
      <c r="B1852" t="s">
        <v>5584</v>
      </c>
      <c r="C1852" t="s">
        <v>5619</v>
      </c>
      <c r="D1852" t="s">
        <v>35</v>
      </c>
      <c r="E1852" t="s">
        <v>133</v>
      </c>
      <c r="F1852" t="s">
        <v>133</v>
      </c>
      <c r="G1852" t="s">
        <v>133</v>
      </c>
      <c r="H1852" t="s">
        <v>133</v>
      </c>
      <c r="I1852" t="s">
        <v>133</v>
      </c>
      <c r="M1852" t="s">
        <v>291</v>
      </c>
      <c r="O1852" t="s">
        <v>161</v>
      </c>
      <c r="T1852" t="s">
        <v>1663</v>
      </c>
    </row>
    <row r="1853" spans="1:20" x14ac:dyDescent="0.2">
      <c r="A1853" t="s">
        <v>5621</v>
      </c>
      <c r="B1853" t="s">
        <v>5622</v>
      </c>
      <c r="C1853" t="s">
        <v>5623</v>
      </c>
      <c r="D1853" t="s">
        <v>14</v>
      </c>
      <c r="E1853" t="s">
        <v>133</v>
      </c>
      <c r="H1853" t="s">
        <v>133</v>
      </c>
      <c r="K1853" t="s">
        <v>5624</v>
      </c>
      <c r="L1853" t="s">
        <v>160</v>
      </c>
      <c r="O1853" t="s">
        <v>161</v>
      </c>
    </row>
    <row r="1854" spans="1:20" x14ac:dyDescent="0.2">
      <c r="A1854" t="s">
        <v>5625</v>
      </c>
      <c r="B1854" t="s">
        <v>5626</v>
      </c>
      <c r="C1854" t="s">
        <v>5627</v>
      </c>
      <c r="D1854" t="s">
        <v>14</v>
      </c>
      <c r="E1854" t="s">
        <v>133</v>
      </c>
      <c r="F1854" t="s">
        <v>133</v>
      </c>
      <c r="G1854" t="s">
        <v>133</v>
      </c>
      <c r="H1854" t="s">
        <v>133</v>
      </c>
      <c r="I1854" t="s">
        <v>133</v>
      </c>
      <c r="K1854" t="s">
        <v>5628</v>
      </c>
      <c r="O1854" t="s">
        <v>161</v>
      </c>
    </row>
    <row r="1855" spans="1:20" x14ac:dyDescent="0.2">
      <c r="A1855" t="s">
        <v>5629</v>
      </c>
      <c r="B1855" t="s">
        <v>5630</v>
      </c>
      <c r="C1855" t="s">
        <v>5631</v>
      </c>
      <c r="D1855" t="s">
        <v>14</v>
      </c>
      <c r="E1855" t="s">
        <v>133</v>
      </c>
      <c r="F1855" t="s">
        <v>133</v>
      </c>
      <c r="G1855" t="s">
        <v>133</v>
      </c>
      <c r="H1855" t="s">
        <v>133</v>
      </c>
      <c r="I1855" t="s">
        <v>133</v>
      </c>
      <c r="K1855" t="s">
        <v>5632</v>
      </c>
      <c r="O1855" t="s">
        <v>161</v>
      </c>
    </row>
    <row r="1856" spans="1:20" x14ac:dyDescent="0.2">
      <c r="A1856" t="s">
        <v>5633</v>
      </c>
      <c r="B1856" t="s">
        <v>5634</v>
      </c>
      <c r="C1856" t="s">
        <v>5635</v>
      </c>
      <c r="D1856" t="s">
        <v>24</v>
      </c>
      <c r="E1856" t="s">
        <v>133</v>
      </c>
      <c r="O1856" t="s">
        <v>511</v>
      </c>
      <c r="Q1856" t="s">
        <v>5636</v>
      </c>
      <c r="R1856" t="s">
        <v>4851</v>
      </c>
      <c r="S1856" t="s">
        <v>4852</v>
      </c>
      <c r="T1856" t="s">
        <v>1663</v>
      </c>
    </row>
    <row r="1857" spans="1:20" x14ac:dyDescent="0.2">
      <c r="A1857" t="s">
        <v>5637</v>
      </c>
      <c r="B1857" t="s">
        <v>5638</v>
      </c>
      <c r="C1857" t="s">
        <v>5639</v>
      </c>
      <c r="D1857" t="s">
        <v>24</v>
      </c>
      <c r="E1857" t="s">
        <v>133</v>
      </c>
      <c r="F1857" t="s">
        <v>133</v>
      </c>
      <c r="G1857" t="s">
        <v>133</v>
      </c>
      <c r="H1857" t="s">
        <v>133</v>
      </c>
      <c r="I1857" t="s">
        <v>133</v>
      </c>
      <c r="O1857" t="s">
        <v>161</v>
      </c>
      <c r="Q1857" t="s">
        <v>5640</v>
      </c>
      <c r="R1857" t="s">
        <v>4851</v>
      </c>
      <c r="S1857" t="s">
        <v>4852</v>
      </c>
      <c r="T1857" t="s">
        <v>1663</v>
      </c>
    </row>
    <row r="1858" spans="1:20" x14ac:dyDescent="0.2">
      <c r="A1858" t="s">
        <v>5641</v>
      </c>
      <c r="B1858" t="s">
        <v>5642</v>
      </c>
      <c r="C1858" t="s">
        <v>5643</v>
      </c>
      <c r="D1858" t="s">
        <v>24</v>
      </c>
      <c r="E1858" t="s">
        <v>133</v>
      </c>
      <c r="F1858" t="s">
        <v>133</v>
      </c>
      <c r="G1858" t="s">
        <v>133</v>
      </c>
      <c r="H1858" t="s">
        <v>133</v>
      </c>
      <c r="I1858" t="s">
        <v>133</v>
      </c>
      <c r="O1858" t="s">
        <v>161</v>
      </c>
      <c r="R1858" t="s">
        <v>1677</v>
      </c>
      <c r="S1858" t="s">
        <v>1678</v>
      </c>
      <c r="T1858" t="s">
        <v>1663</v>
      </c>
    </row>
    <row r="1859" spans="1:20" x14ac:dyDescent="0.2">
      <c r="A1859" t="s">
        <v>5644</v>
      </c>
      <c r="B1859" t="s">
        <v>5645</v>
      </c>
      <c r="C1859" t="s">
        <v>5646</v>
      </c>
      <c r="D1859" t="s">
        <v>24</v>
      </c>
      <c r="E1859" t="s">
        <v>133</v>
      </c>
      <c r="F1859" t="s">
        <v>133</v>
      </c>
      <c r="G1859" t="s">
        <v>133</v>
      </c>
      <c r="H1859" t="s">
        <v>133</v>
      </c>
      <c r="I1859" t="s">
        <v>133</v>
      </c>
      <c r="O1859" t="s">
        <v>161</v>
      </c>
      <c r="R1859" t="s">
        <v>1677</v>
      </c>
      <c r="S1859" t="s">
        <v>1678</v>
      </c>
      <c r="T1859" t="s">
        <v>1663</v>
      </c>
    </row>
    <row r="1860" spans="1:20" x14ac:dyDescent="0.2">
      <c r="A1860" t="s">
        <v>5647</v>
      </c>
      <c r="B1860" t="s">
        <v>5648</v>
      </c>
      <c r="C1860" t="s">
        <v>5649</v>
      </c>
      <c r="D1860" t="s">
        <v>24</v>
      </c>
      <c r="E1860" t="s">
        <v>505</v>
      </c>
      <c r="F1860" t="s">
        <v>133</v>
      </c>
      <c r="G1860" t="s">
        <v>133</v>
      </c>
      <c r="H1860" t="s">
        <v>133</v>
      </c>
      <c r="I1860" t="s">
        <v>133</v>
      </c>
      <c r="O1860" t="s">
        <v>161</v>
      </c>
      <c r="R1860" t="s">
        <v>1219</v>
      </c>
      <c r="S1860" t="s">
        <v>1220</v>
      </c>
      <c r="T1860" t="s">
        <v>1663</v>
      </c>
    </row>
    <row r="1861" spans="1:20" x14ac:dyDescent="0.2">
      <c r="A1861" t="s">
        <v>5647</v>
      </c>
      <c r="B1861" t="s">
        <v>5648</v>
      </c>
      <c r="C1861" t="s">
        <v>5649</v>
      </c>
      <c r="D1861" t="s">
        <v>14</v>
      </c>
      <c r="E1861" t="s">
        <v>255</v>
      </c>
      <c r="F1861" t="s">
        <v>133</v>
      </c>
      <c r="G1861" t="s">
        <v>133</v>
      </c>
      <c r="H1861" t="s">
        <v>133</v>
      </c>
      <c r="I1861" t="s">
        <v>133</v>
      </c>
      <c r="K1861" t="s">
        <v>5619</v>
      </c>
      <c r="O1861" t="s">
        <v>161</v>
      </c>
    </row>
    <row r="1862" spans="1:20" x14ac:dyDescent="0.2">
      <c r="A1862" t="s">
        <v>5650</v>
      </c>
      <c r="B1862" t="s">
        <v>5651</v>
      </c>
      <c r="C1862" t="s">
        <v>5652</v>
      </c>
      <c r="D1862" t="s">
        <v>14</v>
      </c>
      <c r="E1862" t="s">
        <v>133</v>
      </c>
      <c r="F1862" t="s">
        <v>133</v>
      </c>
      <c r="G1862" t="s">
        <v>133</v>
      </c>
      <c r="H1862" t="s">
        <v>133</v>
      </c>
      <c r="I1862" t="s">
        <v>133</v>
      </c>
      <c r="K1862" t="s">
        <v>5653</v>
      </c>
      <c r="O1862" t="s">
        <v>161</v>
      </c>
    </row>
    <row r="1863" spans="1:20" x14ac:dyDescent="0.2">
      <c r="A1863" t="s">
        <v>5654</v>
      </c>
      <c r="B1863" t="s">
        <v>5655</v>
      </c>
      <c r="C1863" t="s">
        <v>5656</v>
      </c>
      <c r="D1863" t="s">
        <v>14</v>
      </c>
      <c r="E1863" t="s">
        <v>133</v>
      </c>
      <c r="F1863" t="s">
        <v>133</v>
      </c>
      <c r="G1863" t="s">
        <v>133</v>
      </c>
      <c r="H1863" t="s">
        <v>133</v>
      </c>
      <c r="I1863" t="s">
        <v>133</v>
      </c>
      <c r="K1863" t="s">
        <v>5657</v>
      </c>
      <c r="O1863" t="s">
        <v>161</v>
      </c>
    </row>
    <row r="1864" spans="1:20" x14ac:dyDescent="0.2">
      <c r="A1864" t="s">
        <v>5658</v>
      </c>
      <c r="B1864" t="s">
        <v>5659</v>
      </c>
      <c r="C1864" t="s">
        <v>5660</v>
      </c>
      <c r="D1864" t="s">
        <v>24</v>
      </c>
      <c r="E1864" t="s">
        <v>133</v>
      </c>
      <c r="O1864" t="s">
        <v>511</v>
      </c>
      <c r="Q1864" t="s">
        <v>5661</v>
      </c>
      <c r="R1864" t="s">
        <v>1680</v>
      </c>
      <c r="S1864" t="s">
        <v>1658</v>
      </c>
      <c r="T1864" t="s">
        <v>1663</v>
      </c>
    </row>
    <row r="1865" spans="1:20" x14ac:dyDescent="0.2">
      <c r="A1865" t="s">
        <v>5662</v>
      </c>
      <c r="B1865" t="s">
        <v>5663</v>
      </c>
      <c r="C1865" t="s">
        <v>5664</v>
      </c>
      <c r="D1865" t="s">
        <v>14</v>
      </c>
      <c r="E1865" t="s">
        <v>133</v>
      </c>
      <c r="F1865" t="s">
        <v>133</v>
      </c>
      <c r="G1865" t="s">
        <v>133</v>
      </c>
      <c r="H1865" t="s">
        <v>133</v>
      </c>
      <c r="I1865" t="s">
        <v>133</v>
      </c>
      <c r="K1865" t="s">
        <v>5665</v>
      </c>
      <c r="O1865" t="s">
        <v>161</v>
      </c>
    </row>
    <row r="1866" spans="1:20" x14ac:dyDescent="0.2">
      <c r="A1866" t="s">
        <v>5666</v>
      </c>
      <c r="B1866" t="s">
        <v>5667</v>
      </c>
      <c r="C1866" t="s">
        <v>5668</v>
      </c>
      <c r="D1866" t="s">
        <v>24</v>
      </c>
      <c r="E1866" t="s">
        <v>133</v>
      </c>
      <c r="F1866" t="s">
        <v>133</v>
      </c>
      <c r="G1866" t="s">
        <v>133</v>
      </c>
      <c r="H1866" t="s">
        <v>133</v>
      </c>
      <c r="I1866" t="s">
        <v>133</v>
      </c>
      <c r="O1866" t="s">
        <v>511</v>
      </c>
      <c r="Q1866" t="s">
        <v>5669</v>
      </c>
      <c r="R1866" t="s">
        <v>1680</v>
      </c>
      <c r="S1866" t="s">
        <v>1658</v>
      </c>
      <c r="T1866" t="s">
        <v>1663</v>
      </c>
    </row>
    <row r="1867" spans="1:20" x14ac:dyDescent="0.2">
      <c r="A1867" t="s">
        <v>5670</v>
      </c>
      <c r="B1867" t="s">
        <v>5671</v>
      </c>
      <c r="C1867" t="s">
        <v>5672</v>
      </c>
      <c r="D1867" t="s">
        <v>14</v>
      </c>
      <c r="E1867" t="s">
        <v>133</v>
      </c>
      <c r="F1867" t="s">
        <v>133</v>
      </c>
      <c r="G1867" t="s">
        <v>133</v>
      </c>
      <c r="H1867" t="s">
        <v>133</v>
      </c>
      <c r="I1867" t="s">
        <v>133</v>
      </c>
      <c r="K1867" t="s">
        <v>5673</v>
      </c>
      <c r="O1867" t="s">
        <v>161</v>
      </c>
    </row>
    <row r="1868" spans="1:20" x14ac:dyDescent="0.2">
      <c r="A1868" t="s">
        <v>5674</v>
      </c>
      <c r="B1868" t="s">
        <v>5675</v>
      </c>
      <c r="C1868" t="s">
        <v>5676</v>
      </c>
      <c r="D1868" t="s">
        <v>35</v>
      </c>
      <c r="E1868" t="s">
        <v>505</v>
      </c>
      <c r="F1868" t="s">
        <v>133</v>
      </c>
      <c r="G1868" t="s">
        <v>133</v>
      </c>
      <c r="H1868" t="s">
        <v>4818</v>
      </c>
      <c r="I1868" t="s">
        <v>133</v>
      </c>
      <c r="O1868" t="s">
        <v>511</v>
      </c>
      <c r="Q1868" t="s">
        <v>5677</v>
      </c>
      <c r="R1868" t="s">
        <v>1682</v>
      </c>
      <c r="S1868" t="s">
        <v>1683</v>
      </c>
      <c r="T1868" t="s">
        <v>1663</v>
      </c>
    </row>
    <row r="1869" spans="1:20" x14ac:dyDescent="0.2">
      <c r="A1869" t="s">
        <v>5674</v>
      </c>
      <c r="B1869" t="s">
        <v>5675</v>
      </c>
      <c r="C1869" t="s">
        <v>5676</v>
      </c>
      <c r="D1869" t="s">
        <v>35</v>
      </c>
      <c r="E1869" t="s">
        <v>505</v>
      </c>
      <c r="F1869" t="s">
        <v>133</v>
      </c>
      <c r="G1869" t="s">
        <v>133</v>
      </c>
      <c r="H1869" t="s">
        <v>1684</v>
      </c>
      <c r="I1869" t="s">
        <v>133</v>
      </c>
      <c r="O1869" t="s">
        <v>511</v>
      </c>
      <c r="Q1869" t="s">
        <v>5677</v>
      </c>
      <c r="R1869" t="s">
        <v>1685</v>
      </c>
      <c r="S1869" t="s">
        <v>1686</v>
      </c>
      <c r="T1869" t="s">
        <v>1663</v>
      </c>
    </row>
    <row r="1870" spans="1:20" x14ac:dyDescent="0.2">
      <c r="A1870" t="s">
        <v>5674</v>
      </c>
      <c r="B1870" t="s">
        <v>5675</v>
      </c>
      <c r="C1870" t="s">
        <v>5676</v>
      </c>
      <c r="D1870" t="s">
        <v>14</v>
      </c>
      <c r="E1870" t="s">
        <v>255</v>
      </c>
      <c r="F1870" t="s">
        <v>133</v>
      </c>
      <c r="G1870" t="s">
        <v>133</v>
      </c>
      <c r="H1870" t="s">
        <v>133</v>
      </c>
      <c r="I1870" t="s">
        <v>133</v>
      </c>
      <c r="K1870" t="s">
        <v>5678</v>
      </c>
      <c r="O1870" t="s">
        <v>511</v>
      </c>
      <c r="Q1870" t="s">
        <v>5677</v>
      </c>
    </row>
    <row r="1871" spans="1:20" x14ac:dyDescent="0.2">
      <c r="A1871" t="s">
        <v>5679</v>
      </c>
      <c r="B1871" t="s">
        <v>5680</v>
      </c>
      <c r="C1871" t="s">
        <v>5681</v>
      </c>
      <c r="D1871" t="s">
        <v>14</v>
      </c>
      <c r="E1871" t="s">
        <v>133</v>
      </c>
      <c r="H1871" t="s">
        <v>133</v>
      </c>
      <c r="K1871" t="s">
        <v>5682</v>
      </c>
      <c r="L1871" t="s">
        <v>160</v>
      </c>
      <c r="O1871" t="s">
        <v>161</v>
      </c>
    </row>
    <row r="1872" spans="1:20" x14ac:dyDescent="0.2">
      <c r="A1872" t="s">
        <v>5683</v>
      </c>
      <c r="B1872" t="s">
        <v>5684</v>
      </c>
      <c r="C1872" t="s">
        <v>5685</v>
      </c>
      <c r="D1872" t="s">
        <v>14</v>
      </c>
      <c r="E1872" t="s">
        <v>133</v>
      </c>
      <c r="F1872" t="s">
        <v>133</v>
      </c>
      <c r="G1872" t="s">
        <v>133</v>
      </c>
      <c r="H1872" t="s">
        <v>4219</v>
      </c>
      <c r="I1872" t="s">
        <v>133</v>
      </c>
      <c r="K1872" t="s">
        <v>5686</v>
      </c>
      <c r="O1872" t="s">
        <v>161</v>
      </c>
    </row>
    <row r="1873" spans="1:20" x14ac:dyDescent="0.2">
      <c r="A1873" t="s">
        <v>5687</v>
      </c>
      <c r="B1873" t="s">
        <v>5651</v>
      </c>
      <c r="C1873" t="s">
        <v>5686</v>
      </c>
      <c r="D1873" t="s">
        <v>35</v>
      </c>
      <c r="E1873" t="s">
        <v>133</v>
      </c>
      <c r="F1873" t="s">
        <v>133</v>
      </c>
      <c r="G1873" t="s">
        <v>133</v>
      </c>
      <c r="H1873" t="s">
        <v>133</v>
      </c>
      <c r="I1873" t="s">
        <v>133</v>
      </c>
      <c r="M1873" t="s">
        <v>291</v>
      </c>
      <c r="O1873" t="s">
        <v>161</v>
      </c>
      <c r="T1873" t="s">
        <v>1663</v>
      </c>
    </row>
    <row r="1874" spans="1:20" x14ac:dyDescent="0.2">
      <c r="A1874" t="s">
        <v>5688</v>
      </c>
      <c r="B1874" t="s">
        <v>5689</v>
      </c>
      <c r="C1874" t="s">
        <v>5690</v>
      </c>
      <c r="D1874" t="s">
        <v>14</v>
      </c>
      <c r="E1874" t="s">
        <v>133</v>
      </c>
      <c r="H1874" t="s">
        <v>133</v>
      </c>
      <c r="K1874" t="s">
        <v>5691</v>
      </c>
      <c r="L1874" t="s">
        <v>160</v>
      </c>
      <c r="O1874" t="s">
        <v>161</v>
      </c>
    </row>
    <row r="1875" spans="1:20" x14ac:dyDescent="0.2">
      <c r="A1875" t="s">
        <v>5692</v>
      </c>
      <c r="B1875" t="s">
        <v>5693</v>
      </c>
      <c r="C1875" t="s">
        <v>5694</v>
      </c>
      <c r="D1875" t="s">
        <v>14</v>
      </c>
      <c r="E1875" t="s">
        <v>133</v>
      </c>
      <c r="F1875" t="s">
        <v>133</v>
      </c>
      <c r="G1875" t="s">
        <v>133</v>
      </c>
      <c r="H1875" t="s">
        <v>133</v>
      </c>
      <c r="I1875" t="s">
        <v>133</v>
      </c>
      <c r="K1875" t="s">
        <v>5695</v>
      </c>
      <c r="O1875" t="s">
        <v>161</v>
      </c>
    </row>
    <row r="1876" spans="1:20" x14ac:dyDescent="0.2">
      <c r="A1876" t="s">
        <v>5696</v>
      </c>
      <c r="B1876" t="s">
        <v>5697</v>
      </c>
      <c r="C1876" t="s">
        <v>5698</v>
      </c>
      <c r="D1876" t="s">
        <v>14</v>
      </c>
      <c r="E1876" t="s">
        <v>133</v>
      </c>
      <c r="F1876" t="s">
        <v>133</v>
      </c>
      <c r="G1876" t="s">
        <v>133</v>
      </c>
      <c r="H1876" t="s">
        <v>133</v>
      </c>
      <c r="I1876" t="s">
        <v>133</v>
      </c>
      <c r="K1876" t="s">
        <v>5699</v>
      </c>
      <c r="O1876" t="s">
        <v>161</v>
      </c>
    </row>
    <row r="1877" spans="1:20" x14ac:dyDescent="0.2">
      <c r="A1877" t="s">
        <v>5700</v>
      </c>
      <c r="B1877" t="s">
        <v>5701</v>
      </c>
      <c r="C1877" t="s">
        <v>5702</v>
      </c>
      <c r="D1877" t="s">
        <v>24</v>
      </c>
      <c r="E1877" t="s">
        <v>133</v>
      </c>
      <c r="O1877" t="s">
        <v>511</v>
      </c>
      <c r="Q1877" t="s">
        <v>5703</v>
      </c>
      <c r="R1877" t="s">
        <v>4851</v>
      </c>
      <c r="S1877" t="s">
        <v>4852</v>
      </c>
      <c r="T1877" t="s">
        <v>1663</v>
      </c>
    </row>
    <row r="1878" spans="1:20" x14ac:dyDescent="0.2">
      <c r="A1878" t="s">
        <v>5704</v>
      </c>
      <c r="B1878" t="s">
        <v>5705</v>
      </c>
      <c r="C1878" t="s">
        <v>5706</v>
      </c>
      <c r="D1878" t="s">
        <v>24</v>
      </c>
      <c r="E1878" t="s">
        <v>133</v>
      </c>
      <c r="F1878" t="s">
        <v>133</v>
      </c>
      <c r="G1878" t="s">
        <v>133</v>
      </c>
      <c r="H1878" t="s">
        <v>133</v>
      </c>
      <c r="I1878" t="s">
        <v>133</v>
      </c>
      <c r="O1878" t="s">
        <v>161</v>
      </c>
      <c r="Q1878" t="s">
        <v>5707</v>
      </c>
      <c r="R1878" t="s">
        <v>4851</v>
      </c>
      <c r="S1878" t="s">
        <v>4852</v>
      </c>
      <c r="T1878" t="s">
        <v>1663</v>
      </c>
    </row>
    <row r="1879" spans="1:20" x14ac:dyDescent="0.2">
      <c r="A1879" t="s">
        <v>5708</v>
      </c>
      <c r="B1879" t="s">
        <v>5709</v>
      </c>
      <c r="C1879" t="s">
        <v>5710</v>
      </c>
      <c r="D1879" t="s">
        <v>24</v>
      </c>
      <c r="E1879" t="s">
        <v>133</v>
      </c>
      <c r="F1879" t="s">
        <v>133</v>
      </c>
      <c r="G1879" t="s">
        <v>133</v>
      </c>
      <c r="H1879" t="s">
        <v>133</v>
      </c>
      <c r="I1879" t="s">
        <v>133</v>
      </c>
      <c r="O1879" t="s">
        <v>161</v>
      </c>
      <c r="R1879" t="s">
        <v>1677</v>
      </c>
      <c r="S1879" t="s">
        <v>1678</v>
      </c>
      <c r="T1879" t="s">
        <v>1663</v>
      </c>
    </row>
    <row r="1880" spans="1:20" x14ac:dyDescent="0.2">
      <c r="A1880" t="s">
        <v>5711</v>
      </c>
      <c r="B1880" t="s">
        <v>5712</v>
      </c>
      <c r="C1880" t="s">
        <v>5713</v>
      </c>
      <c r="D1880" t="s">
        <v>24</v>
      </c>
      <c r="E1880" t="s">
        <v>133</v>
      </c>
      <c r="F1880" t="s">
        <v>133</v>
      </c>
      <c r="G1880" t="s">
        <v>133</v>
      </c>
      <c r="H1880" t="s">
        <v>133</v>
      </c>
      <c r="I1880" t="s">
        <v>133</v>
      </c>
      <c r="O1880" t="s">
        <v>161</v>
      </c>
      <c r="R1880" t="s">
        <v>1677</v>
      </c>
      <c r="S1880" t="s">
        <v>1678</v>
      </c>
      <c r="T1880" t="s">
        <v>1663</v>
      </c>
    </row>
    <row r="1881" spans="1:20" x14ac:dyDescent="0.2">
      <c r="A1881" t="s">
        <v>5714</v>
      </c>
      <c r="B1881" t="s">
        <v>5715</v>
      </c>
      <c r="C1881" t="s">
        <v>5716</v>
      </c>
      <c r="D1881" t="s">
        <v>24</v>
      </c>
      <c r="E1881" t="s">
        <v>505</v>
      </c>
      <c r="F1881" t="s">
        <v>133</v>
      </c>
      <c r="G1881" t="s">
        <v>133</v>
      </c>
      <c r="H1881" t="s">
        <v>133</v>
      </c>
      <c r="I1881" t="s">
        <v>133</v>
      </c>
      <c r="O1881" t="s">
        <v>161</v>
      </c>
      <c r="R1881" t="s">
        <v>1219</v>
      </c>
      <c r="S1881" t="s">
        <v>1220</v>
      </c>
      <c r="T1881" t="s">
        <v>1663</v>
      </c>
    </row>
    <row r="1882" spans="1:20" x14ac:dyDescent="0.2">
      <c r="A1882" t="s">
        <v>5714</v>
      </c>
      <c r="B1882" t="s">
        <v>5715</v>
      </c>
      <c r="C1882" t="s">
        <v>5716</v>
      </c>
      <c r="D1882" t="s">
        <v>14</v>
      </c>
      <c r="E1882" t="s">
        <v>255</v>
      </c>
      <c r="F1882" t="s">
        <v>133</v>
      </c>
      <c r="G1882" t="s">
        <v>133</v>
      </c>
      <c r="H1882" t="s">
        <v>133</v>
      </c>
      <c r="I1882" t="s">
        <v>133</v>
      </c>
      <c r="K1882" t="s">
        <v>5686</v>
      </c>
      <c r="O1882" t="s">
        <v>161</v>
      </c>
    </row>
    <row r="1883" spans="1:20" x14ac:dyDescent="0.2">
      <c r="A1883" t="s">
        <v>5717</v>
      </c>
      <c r="B1883" t="s">
        <v>5718</v>
      </c>
      <c r="C1883" t="s">
        <v>5719</v>
      </c>
      <c r="D1883" t="s">
        <v>14</v>
      </c>
      <c r="E1883" t="s">
        <v>133</v>
      </c>
      <c r="F1883" t="s">
        <v>133</v>
      </c>
      <c r="G1883" t="s">
        <v>133</v>
      </c>
      <c r="H1883" t="s">
        <v>133</v>
      </c>
      <c r="I1883" t="s">
        <v>133</v>
      </c>
      <c r="K1883" t="s">
        <v>5720</v>
      </c>
      <c r="O1883" t="s">
        <v>161</v>
      </c>
    </row>
    <row r="1884" spans="1:20" x14ac:dyDescent="0.2">
      <c r="A1884" t="s">
        <v>5721</v>
      </c>
      <c r="B1884" t="s">
        <v>5722</v>
      </c>
      <c r="C1884" t="s">
        <v>5723</v>
      </c>
      <c r="D1884" t="s">
        <v>14</v>
      </c>
      <c r="E1884" t="s">
        <v>133</v>
      </c>
      <c r="F1884" t="s">
        <v>133</v>
      </c>
      <c r="G1884" t="s">
        <v>133</v>
      </c>
      <c r="H1884" t="s">
        <v>133</v>
      </c>
      <c r="I1884" t="s">
        <v>133</v>
      </c>
      <c r="K1884" t="s">
        <v>5724</v>
      </c>
      <c r="O1884" t="s">
        <v>161</v>
      </c>
    </row>
    <row r="1885" spans="1:20" x14ac:dyDescent="0.2">
      <c r="A1885" t="s">
        <v>5725</v>
      </c>
      <c r="B1885" t="s">
        <v>5726</v>
      </c>
      <c r="C1885" t="s">
        <v>5727</v>
      </c>
      <c r="D1885" t="s">
        <v>24</v>
      </c>
      <c r="E1885" t="s">
        <v>133</v>
      </c>
      <c r="O1885" t="s">
        <v>511</v>
      </c>
      <c r="Q1885" t="s">
        <v>5728</v>
      </c>
      <c r="R1885" t="s">
        <v>1680</v>
      </c>
      <c r="S1885" t="s">
        <v>1658</v>
      </c>
      <c r="T1885" t="s">
        <v>1663</v>
      </c>
    </row>
    <row r="1886" spans="1:20" x14ac:dyDescent="0.2">
      <c r="A1886" t="s">
        <v>5729</v>
      </c>
      <c r="B1886" t="s">
        <v>5730</v>
      </c>
      <c r="C1886" t="s">
        <v>5731</v>
      </c>
      <c r="D1886" t="s">
        <v>14</v>
      </c>
      <c r="E1886" t="s">
        <v>133</v>
      </c>
      <c r="F1886" t="s">
        <v>133</v>
      </c>
      <c r="G1886" t="s">
        <v>133</v>
      </c>
      <c r="H1886" t="s">
        <v>133</v>
      </c>
      <c r="I1886" t="s">
        <v>133</v>
      </c>
      <c r="K1886" t="s">
        <v>5732</v>
      </c>
      <c r="O1886" t="s">
        <v>161</v>
      </c>
    </row>
    <row r="1887" spans="1:20" x14ac:dyDescent="0.2">
      <c r="A1887" t="s">
        <v>5733</v>
      </c>
      <c r="B1887" t="s">
        <v>5734</v>
      </c>
      <c r="C1887" t="s">
        <v>5735</v>
      </c>
      <c r="D1887" t="s">
        <v>24</v>
      </c>
      <c r="E1887" t="s">
        <v>133</v>
      </c>
      <c r="F1887" t="s">
        <v>133</v>
      </c>
      <c r="G1887" t="s">
        <v>133</v>
      </c>
      <c r="H1887" t="s">
        <v>133</v>
      </c>
      <c r="I1887" t="s">
        <v>133</v>
      </c>
      <c r="O1887" t="s">
        <v>511</v>
      </c>
      <c r="Q1887" t="s">
        <v>5736</v>
      </c>
      <c r="R1887" t="s">
        <v>1680</v>
      </c>
      <c r="S1887" t="s">
        <v>1658</v>
      </c>
      <c r="T1887" t="s">
        <v>1663</v>
      </c>
    </row>
    <row r="1888" spans="1:20" x14ac:dyDescent="0.2">
      <c r="A1888" t="s">
        <v>5737</v>
      </c>
      <c r="B1888" t="s">
        <v>5738</v>
      </c>
      <c r="C1888" t="s">
        <v>5739</v>
      </c>
      <c r="D1888" t="s">
        <v>14</v>
      </c>
      <c r="E1888" t="s">
        <v>133</v>
      </c>
      <c r="F1888" t="s">
        <v>133</v>
      </c>
      <c r="G1888" t="s">
        <v>133</v>
      </c>
      <c r="H1888" t="s">
        <v>133</v>
      </c>
      <c r="I1888" t="s">
        <v>133</v>
      </c>
      <c r="K1888" t="s">
        <v>5740</v>
      </c>
      <c r="O1888" t="s">
        <v>161</v>
      </c>
    </row>
    <row r="1889" spans="1:20" x14ac:dyDescent="0.2">
      <c r="A1889" t="s">
        <v>5741</v>
      </c>
      <c r="B1889" t="s">
        <v>5742</v>
      </c>
      <c r="C1889" t="s">
        <v>5743</v>
      </c>
      <c r="D1889" t="s">
        <v>35</v>
      </c>
      <c r="E1889" t="s">
        <v>505</v>
      </c>
      <c r="F1889" t="s">
        <v>133</v>
      </c>
      <c r="G1889" t="s">
        <v>133</v>
      </c>
      <c r="H1889" t="s">
        <v>4818</v>
      </c>
      <c r="I1889" t="s">
        <v>133</v>
      </c>
      <c r="O1889" t="s">
        <v>511</v>
      </c>
      <c r="Q1889" t="s">
        <v>5744</v>
      </c>
      <c r="R1889" t="s">
        <v>1682</v>
      </c>
      <c r="S1889" t="s">
        <v>1683</v>
      </c>
      <c r="T1889" t="s">
        <v>1663</v>
      </c>
    </row>
    <row r="1890" spans="1:20" x14ac:dyDescent="0.2">
      <c r="A1890" t="s">
        <v>5741</v>
      </c>
      <c r="B1890" t="s">
        <v>5742</v>
      </c>
      <c r="C1890" t="s">
        <v>5743</v>
      </c>
      <c r="D1890" t="s">
        <v>35</v>
      </c>
      <c r="E1890" t="s">
        <v>505</v>
      </c>
      <c r="F1890" t="s">
        <v>133</v>
      </c>
      <c r="G1890" t="s">
        <v>133</v>
      </c>
      <c r="H1890" t="s">
        <v>1684</v>
      </c>
      <c r="I1890" t="s">
        <v>133</v>
      </c>
      <c r="O1890" t="s">
        <v>511</v>
      </c>
      <c r="Q1890" t="s">
        <v>5744</v>
      </c>
      <c r="R1890" t="s">
        <v>1685</v>
      </c>
      <c r="S1890" t="s">
        <v>1686</v>
      </c>
      <c r="T1890" t="s">
        <v>1663</v>
      </c>
    </row>
    <row r="1891" spans="1:20" x14ac:dyDescent="0.2">
      <c r="A1891" t="s">
        <v>5741</v>
      </c>
      <c r="B1891" t="s">
        <v>5742</v>
      </c>
      <c r="C1891" t="s">
        <v>5743</v>
      </c>
      <c r="D1891" t="s">
        <v>14</v>
      </c>
      <c r="E1891" t="s">
        <v>255</v>
      </c>
      <c r="F1891" t="s">
        <v>133</v>
      </c>
      <c r="G1891" t="s">
        <v>133</v>
      </c>
      <c r="H1891" t="s">
        <v>133</v>
      </c>
      <c r="I1891" t="s">
        <v>133</v>
      </c>
      <c r="K1891" t="s">
        <v>5745</v>
      </c>
      <c r="O1891" t="s">
        <v>511</v>
      </c>
      <c r="Q1891" t="s">
        <v>5744</v>
      </c>
    </row>
    <row r="1892" spans="1:20" x14ac:dyDescent="0.2">
      <c r="A1892" t="s">
        <v>5746</v>
      </c>
      <c r="B1892" t="s">
        <v>5747</v>
      </c>
      <c r="C1892" t="s">
        <v>5748</v>
      </c>
      <c r="D1892" t="s">
        <v>14</v>
      </c>
      <c r="E1892" t="s">
        <v>133</v>
      </c>
      <c r="H1892" t="s">
        <v>133</v>
      </c>
      <c r="K1892" t="s">
        <v>5749</v>
      </c>
      <c r="L1892" t="s">
        <v>160</v>
      </c>
      <c r="O1892" t="s">
        <v>161</v>
      </c>
    </row>
    <row r="1893" spans="1:20" x14ac:dyDescent="0.2">
      <c r="A1893" t="s">
        <v>5750</v>
      </c>
      <c r="B1893" t="s">
        <v>5751</v>
      </c>
      <c r="C1893" t="s">
        <v>5752</v>
      </c>
      <c r="D1893" t="s">
        <v>14</v>
      </c>
      <c r="E1893" t="s">
        <v>133</v>
      </c>
      <c r="F1893" t="s">
        <v>133</v>
      </c>
      <c r="G1893" t="s">
        <v>133</v>
      </c>
      <c r="H1893" t="s">
        <v>4219</v>
      </c>
      <c r="I1893" t="s">
        <v>133</v>
      </c>
      <c r="K1893" t="s">
        <v>5753</v>
      </c>
      <c r="O1893" t="s">
        <v>161</v>
      </c>
    </row>
    <row r="1894" spans="1:20" x14ac:dyDescent="0.2">
      <c r="A1894" t="s">
        <v>5754</v>
      </c>
      <c r="B1894" t="s">
        <v>5718</v>
      </c>
      <c r="C1894" t="s">
        <v>5753</v>
      </c>
      <c r="D1894" t="s">
        <v>35</v>
      </c>
      <c r="E1894" t="s">
        <v>133</v>
      </c>
      <c r="F1894" t="s">
        <v>133</v>
      </c>
      <c r="G1894" t="s">
        <v>133</v>
      </c>
      <c r="H1894" t="s">
        <v>133</v>
      </c>
      <c r="I1894" t="s">
        <v>133</v>
      </c>
      <c r="M1894" t="s">
        <v>291</v>
      </c>
      <c r="O1894" t="s">
        <v>161</v>
      </c>
      <c r="T1894" t="s">
        <v>1663</v>
      </c>
    </row>
    <row r="1895" spans="1:20" x14ac:dyDescent="0.2">
      <c r="A1895" t="s">
        <v>5755</v>
      </c>
      <c r="B1895" t="s">
        <v>5756</v>
      </c>
      <c r="C1895" t="s">
        <v>5757</v>
      </c>
      <c r="D1895" t="s">
        <v>14</v>
      </c>
      <c r="E1895" t="s">
        <v>133</v>
      </c>
      <c r="H1895" t="s">
        <v>133</v>
      </c>
      <c r="K1895" t="s">
        <v>5758</v>
      </c>
      <c r="L1895" t="s">
        <v>160</v>
      </c>
      <c r="O1895" t="s">
        <v>161</v>
      </c>
    </row>
    <row r="1896" spans="1:20" x14ac:dyDescent="0.2">
      <c r="A1896" t="s">
        <v>5759</v>
      </c>
      <c r="B1896" t="s">
        <v>5760</v>
      </c>
      <c r="C1896" t="s">
        <v>5761</v>
      </c>
      <c r="D1896" t="s">
        <v>14</v>
      </c>
      <c r="E1896" t="s">
        <v>133</v>
      </c>
      <c r="F1896" t="s">
        <v>133</v>
      </c>
      <c r="G1896" t="s">
        <v>133</v>
      </c>
      <c r="H1896" t="s">
        <v>133</v>
      </c>
      <c r="I1896" t="s">
        <v>133</v>
      </c>
      <c r="K1896" t="s">
        <v>5762</v>
      </c>
      <c r="O1896" t="s">
        <v>161</v>
      </c>
    </row>
    <row r="1897" spans="1:20" x14ac:dyDescent="0.2">
      <c r="A1897" t="s">
        <v>5763</v>
      </c>
      <c r="B1897" t="s">
        <v>5764</v>
      </c>
      <c r="C1897" t="s">
        <v>5765</v>
      </c>
      <c r="D1897" t="s">
        <v>14</v>
      </c>
      <c r="E1897" t="s">
        <v>133</v>
      </c>
      <c r="F1897" t="s">
        <v>133</v>
      </c>
      <c r="G1897" t="s">
        <v>133</v>
      </c>
      <c r="H1897" t="s">
        <v>133</v>
      </c>
      <c r="I1897" t="s">
        <v>133</v>
      </c>
      <c r="K1897" t="s">
        <v>5766</v>
      </c>
      <c r="O1897" t="s">
        <v>161</v>
      </c>
    </row>
    <row r="1898" spans="1:20" x14ac:dyDescent="0.2">
      <c r="A1898" t="s">
        <v>5767</v>
      </c>
      <c r="B1898" t="s">
        <v>5768</v>
      </c>
      <c r="C1898" t="s">
        <v>5769</v>
      </c>
      <c r="D1898" t="s">
        <v>24</v>
      </c>
      <c r="E1898" t="s">
        <v>133</v>
      </c>
      <c r="O1898" t="s">
        <v>511</v>
      </c>
      <c r="Q1898" t="s">
        <v>5770</v>
      </c>
      <c r="R1898" t="s">
        <v>4851</v>
      </c>
      <c r="S1898" t="s">
        <v>4852</v>
      </c>
      <c r="T1898" t="s">
        <v>1663</v>
      </c>
    </row>
    <row r="1899" spans="1:20" x14ac:dyDescent="0.2">
      <c r="A1899" t="s">
        <v>5771</v>
      </c>
      <c r="B1899" t="s">
        <v>5772</v>
      </c>
      <c r="C1899" t="s">
        <v>5773</v>
      </c>
      <c r="D1899" t="s">
        <v>14</v>
      </c>
      <c r="E1899" t="s">
        <v>133</v>
      </c>
      <c r="F1899" t="s">
        <v>133</v>
      </c>
      <c r="G1899" t="s">
        <v>133</v>
      </c>
      <c r="H1899" t="s">
        <v>133</v>
      </c>
      <c r="I1899" t="s">
        <v>133</v>
      </c>
      <c r="K1899" t="s">
        <v>5774</v>
      </c>
      <c r="O1899" t="s">
        <v>161</v>
      </c>
    </row>
    <row r="1900" spans="1:20" x14ac:dyDescent="0.2">
      <c r="A1900" t="s">
        <v>5775</v>
      </c>
      <c r="B1900" t="s">
        <v>5776</v>
      </c>
      <c r="C1900" t="s">
        <v>5777</v>
      </c>
      <c r="D1900" t="s">
        <v>24</v>
      </c>
      <c r="E1900" t="s">
        <v>133</v>
      </c>
      <c r="F1900" t="s">
        <v>133</v>
      </c>
      <c r="G1900" t="s">
        <v>133</v>
      </c>
      <c r="H1900" t="s">
        <v>133</v>
      </c>
      <c r="I1900" t="s">
        <v>133</v>
      </c>
      <c r="O1900" t="s">
        <v>161</v>
      </c>
      <c r="Q1900" t="s">
        <v>5778</v>
      </c>
      <c r="R1900" t="s">
        <v>4851</v>
      </c>
      <c r="S1900" t="s">
        <v>4852</v>
      </c>
      <c r="T1900" t="s">
        <v>1663</v>
      </c>
    </row>
    <row r="1901" spans="1:20" x14ac:dyDescent="0.2">
      <c r="A1901" t="s">
        <v>5779</v>
      </c>
      <c r="B1901" t="s">
        <v>5780</v>
      </c>
      <c r="C1901" t="s">
        <v>5781</v>
      </c>
      <c r="D1901" t="s">
        <v>24</v>
      </c>
      <c r="E1901" t="s">
        <v>133</v>
      </c>
      <c r="F1901" t="s">
        <v>133</v>
      </c>
      <c r="G1901" t="s">
        <v>133</v>
      </c>
      <c r="H1901" t="s">
        <v>133</v>
      </c>
      <c r="I1901" t="s">
        <v>133</v>
      </c>
      <c r="O1901" t="s">
        <v>161</v>
      </c>
      <c r="R1901" t="s">
        <v>1677</v>
      </c>
      <c r="S1901" t="s">
        <v>1678</v>
      </c>
      <c r="T1901" t="s">
        <v>1663</v>
      </c>
    </row>
    <row r="1902" spans="1:20" x14ac:dyDescent="0.2">
      <c r="A1902" t="s">
        <v>5782</v>
      </c>
      <c r="B1902" t="s">
        <v>5783</v>
      </c>
      <c r="C1902" t="s">
        <v>5784</v>
      </c>
      <c r="D1902" t="s">
        <v>24</v>
      </c>
      <c r="E1902" t="s">
        <v>133</v>
      </c>
      <c r="F1902" t="s">
        <v>133</v>
      </c>
      <c r="G1902" t="s">
        <v>133</v>
      </c>
      <c r="H1902" t="s">
        <v>133</v>
      </c>
      <c r="I1902" t="s">
        <v>133</v>
      </c>
      <c r="O1902" t="s">
        <v>161</v>
      </c>
      <c r="R1902" t="s">
        <v>1677</v>
      </c>
      <c r="S1902" t="s">
        <v>1678</v>
      </c>
      <c r="T1902" t="s">
        <v>1663</v>
      </c>
    </row>
    <row r="1903" spans="1:20" x14ac:dyDescent="0.2">
      <c r="A1903" t="s">
        <v>5785</v>
      </c>
      <c r="B1903" t="s">
        <v>5786</v>
      </c>
      <c r="C1903" t="s">
        <v>5787</v>
      </c>
      <c r="D1903" t="s">
        <v>24</v>
      </c>
      <c r="E1903" t="s">
        <v>505</v>
      </c>
      <c r="F1903" t="s">
        <v>133</v>
      </c>
      <c r="G1903" t="s">
        <v>133</v>
      </c>
      <c r="H1903" t="s">
        <v>133</v>
      </c>
      <c r="I1903" t="s">
        <v>133</v>
      </c>
      <c r="O1903" t="s">
        <v>161</v>
      </c>
      <c r="R1903" t="s">
        <v>1219</v>
      </c>
      <c r="S1903" t="s">
        <v>1220</v>
      </c>
      <c r="T1903" t="s">
        <v>1663</v>
      </c>
    </row>
    <row r="1904" spans="1:20" x14ac:dyDescent="0.2">
      <c r="A1904" t="s">
        <v>5785</v>
      </c>
      <c r="B1904" t="s">
        <v>5786</v>
      </c>
      <c r="C1904" t="s">
        <v>5787</v>
      </c>
      <c r="D1904" t="s">
        <v>14</v>
      </c>
      <c r="E1904" t="s">
        <v>255</v>
      </c>
      <c r="F1904" t="s">
        <v>133</v>
      </c>
      <c r="G1904" t="s">
        <v>133</v>
      </c>
      <c r="H1904" t="s">
        <v>133</v>
      </c>
      <c r="I1904" t="s">
        <v>133</v>
      </c>
      <c r="K1904" t="s">
        <v>5753</v>
      </c>
      <c r="O1904" t="s">
        <v>161</v>
      </c>
    </row>
    <row r="1905" spans="1:20" x14ac:dyDescent="0.2">
      <c r="A1905" t="s">
        <v>5788</v>
      </c>
      <c r="B1905" t="s">
        <v>5789</v>
      </c>
      <c r="C1905" t="s">
        <v>5790</v>
      </c>
      <c r="D1905" t="s">
        <v>14</v>
      </c>
      <c r="E1905" t="s">
        <v>133</v>
      </c>
      <c r="F1905" t="s">
        <v>133</v>
      </c>
      <c r="G1905" t="s">
        <v>133</v>
      </c>
      <c r="H1905" t="s">
        <v>133</v>
      </c>
      <c r="I1905" t="s">
        <v>133</v>
      </c>
      <c r="K1905" t="s">
        <v>5791</v>
      </c>
      <c r="O1905" t="s">
        <v>161</v>
      </c>
    </row>
    <row r="1906" spans="1:20" x14ac:dyDescent="0.2">
      <c r="A1906" t="s">
        <v>5792</v>
      </c>
      <c r="B1906" t="s">
        <v>5793</v>
      </c>
      <c r="C1906" t="s">
        <v>5794</v>
      </c>
      <c r="D1906" t="s">
        <v>14</v>
      </c>
      <c r="E1906" t="s">
        <v>133</v>
      </c>
      <c r="F1906" t="s">
        <v>133</v>
      </c>
      <c r="G1906" t="s">
        <v>133</v>
      </c>
      <c r="H1906" t="s">
        <v>133</v>
      </c>
      <c r="I1906" t="s">
        <v>133</v>
      </c>
      <c r="K1906" t="s">
        <v>5795</v>
      </c>
      <c r="O1906" t="s">
        <v>161</v>
      </c>
    </row>
    <row r="1907" spans="1:20" x14ac:dyDescent="0.2">
      <c r="A1907" t="s">
        <v>5796</v>
      </c>
      <c r="B1907" t="s">
        <v>5797</v>
      </c>
      <c r="C1907" t="s">
        <v>5798</v>
      </c>
      <c r="D1907" t="s">
        <v>24</v>
      </c>
      <c r="E1907" t="s">
        <v>133</v>
      </c>
      <c r="O1907" t="s">
        <v>511</v>
      </c>
      <c r="Q1907" t="s">
        <v>5799</v>
      </c>
      <c r="R1907" t="s">
        <v>1680</v>
      </c>
      <c r="S1907" t="s">
        <v>1658</v>
      </c>
      <c r="T1907" t="s">
        <v>1663</v>
      </c>
    </row>
    <row r="1908" spans="1:20" x14ac:dyDescent="0.2">
      <c r="A1908" t="s">
        <v>5800</v>
      </c>
      <c r="B1908" t="s">
        <v>5801</v>
      </c>
      <c r="C1908" t="s">
        <v>5802</v>
      </c>
      <c r="D1908" t="s">
        <v>14</v>
      </c>
      <c r="E1908" t="s">
        <v>133</v>
      </c>
      <c r="F1908" t="s">
        <v>133</v>
      </c>
      <c r="G1908" t="s">
        <v>133</v>
      </c>
      <c r="H1908" t="s">
        <v>133</v>
      </c>
      <c r="I1908" t="s">
        <v>133</v>
      </c>
      <c r="K1908" t="s">
        <v>5803</v>
      </c>
      <c r="O1908" t="s">
        <v>161</v>
      </c>
    </row>
    <row r="1909" spans="1:20" x14ac:dyDescent="0.2">
      <c r="A1909" t="s">
        <v>5804</v>
      </c>
      <c r="B1909" t="s">
        <v>5805</v>
      </c>
      <c r="C1909" t="s">
        <v>5806</v>
      </c>
      <c r="D1909" t="s">
        <v>24</v>
      </c>
      <c r="E1909" t="s">
        <v>133</v>
      </c>
      <c r="F1909" t="s">
        <v>133</v>
      </c>
      <c r="G1909" t="s">
        <v>133</v>
      </c>
      <c r="H1909" t="s">
        <v>133</v>
      </c>
      <c r="I1909" t="s">
        <v>133</v>
      </c>
      <c r="O1909" t="s">
        <v>511</v>
      </c>
      <c r="Q1909" t="s">
        <v>5807</v>
      </c>
      <c r="R1909" t="s">
        <v>1680</v>
      </c>
      <c r="S1909" t="s">
        <v>1658</v>
      </c>
      <c r="T1909" t="s">
        <v>1663</v>
      </c>
    </row>
    <row r="1910" spans="1:20" x14ac:dyDescent="0.2">
      <c r="A1910" t="s">
        <v>5808</v>
      </c>
      <c r="B1910" t="s">
        <v>5809</v>
      </c>
      <c r="C1910" t="s">
        <v>5810</v>
      </c>
      <c r="D1910" t="s">
        <v>14</v>
      </c>
      <c r="E1910" t="s">
        <v>133</v>
      </c>
      <c r="F1910" t="s">
        <v>133</v>
      </c>
      <c r="G1910" t="s">
        <v>133</v>
      </c>
      <c r="H1910" t="s">
        <v>133</v>
      </c>
      <c r="I1910" t="s">
        <v>133</v>
      </c>
      <c r="K1910" t="s">
        <v>5811</v>
      </c>
      <c r="O1910" t="s">
        <v>161</v>
      </c>
    </row>
    <row r="1911" spans="1:20" x14ac:dyDescent="0.2">
      <c r="A1911" t="s">
        <v>5812</v>
      </c>
      <c r="B1911" t="s">
        <v>5813</v>
      </c>
      <c r="C1911" t="s">
        <v>5814</v>
      </c>
      <c r="D1911" t="s">
        <v>35</v>
      </c>
      <c r="E1911" t="s">
        <v>505</v>
      </c>
      <c r="F1911" t="s">
        <v>133</v>
      </c>
      <c r="G1911" t="s">
        <v>133</v>
      </c>
      <c r="H1911" t="s">
        <v>4818</v>
      </c>
      <c r="I1911" t="s">
        <v>133</v>
      </c>
      <c r="O1911" t="s">
        <v>511</v>
      </c>
      <c r="Q1911" t="s">
        <v>5815</v>
      </c>
      <c r="R1911" t="s">
        <v>1682</v>
      </c>
      <c r="S1911" t="s">
        <v>1683</v>
      </c>
      <c r="T1911" t="s">
        <v>1663</v>
      </c>
    </row>
    <row r="1912" spans="1:20" x14ac:dyDescent="0.2">
      <c r="A1912" t="s">
        <v>5812</v>
      </c>
      <c r="B1912" t="s">
        <v>5813</v>
      </c>
      <c r="C1912" t="s">
        <v>5814</v>
      </c>
      <c r="D1912" t="s">
        <v>35</v>
      </c>
      <c r="E1912" t="s">
        <v>505</v>
      </c>
      <c r="F1912" t="s">
        <v>133</v>
      </c>
      <c r="G1912" t="s">
        <v>133</v>
      </c>
      <c r="H1912" t="s">
        <v>1684</v>
      </c>
      <c r="I1912" t="s">
        <v>133</v>
      </c>
      <c r="O1912" t="s">
        <v>511</v>
      </c>
      <c r="Q1912" t="s">
        <v>5815</v>
      </c>
      <c r="R1912" t="s">
        <v>1685</v>
      </c>
      <c r="S1912" t="s">
        <v>1686</v>
      </c>
      <c r="T1912" t="s">
        <v>1663</v>
      </c>
    </row>
    <row r="1913" spans="1:20" x14ac:dyDescent="0.2">
      <c r="A1913" t="s">
        <v>5812</v>
      </c>
      <c r="B1913" t="s">
        <v>5813</v>
      </c>
      <c r="C1913" t="s">
        <v>5814</v>
      </c>
      <c r="D1913" t="s">
        <v>14</v>
      </c>
      <c r="E1913" t="s">
        <v>255</v>
      </c>
      <c r="F1913" t="s">
        <v>133</v>
      </c>
      <c r="G1913" t="s">
        <v>133</v>
      </c>
      <c r="H1913" t="s">
        <v>133</v>
      </c>
      <c r="I1913" t="s">
        <v>133</v>
      </c>
      <c r="K1913" t="s">
        <v>5816</v>
      </c>
      <c r="O1913" t="s">
        <v>511</v>
      </c>
      <c r="Q1913" t="s">
        <v>5815</v>
      </c>
    </row>
    <row r="1914" spans="1:20" x14ac:dyDescent="0.2">
      <c r="A1914" t="s">
        <v>5817</v>
      </c>
      <c r="B1914" t="s">
        <v>5818</v>
      </c>
      <c r="C1914" t="s">
        <v>5819</v>
      </c>
      <c r="D1914" t="s">
        <v>14</v>
      </c>
      <c r="E1914" t="s">
        <v>133</v>
      </c>
      <c r="H1914" t="s">
        <v>133</v>
      </c>
      <c r="K1914" t="s">
        <v>5820</v>
      </c>
      <c r="L1914" t="s">
        <v>160</v>
      </c>
      <c r="O1914" t="s">
        <v>161</v>
      </c>
    </row>
    <row r="1915" spans="1:20" x14ac:dyDescent="0.2">
      <c r="A1915" t="s">
        <v>5821</v>
      </c>
      <c r="B1915" t="s">
        <v>5822</v>
      </c>
      <c r="C1915" t="s">
        <v>5823</v>
      </c>
      <c r="D1915" t="s">
        <v>14</v>
      </c>
      <c r="E1915" t="s">
        <v>133</v>
      </c>
      <c r="F1915" t="s">
        <v>133</v>
      </c>
      <c r="G1915" t="s">
        <v>133</v>
      </c>
      <c r="H1915" t="s">
        <v>4219</v>
      </c>
      <c r="I1915" t="s">
        <v>133</v>
      </c>
      <c r="K1915" t="s">
        <v>5824</v>
      </c>
      <c r="O1915" t="s">
        <v>161</v>
      </c>
    </row>
    <row r="1916" spans="1:20" x14ac:dyDescent="0.2">
      <c r="A1916" t="s">
        <v>5825</v>
      </c>
      <c r="B1916" t="s">
        <v>5789</v>
      </c>
      <c r="C1916" t="s">
        <v>5824</v>
      </c>
      <c r="D1916" t="s">
        <v>35</v>
      </c>
      <c r="E1916" t="s">
        <v>133</v>
      </c>
      <c r="F1916" t="s">
        <v>133</v>
      </c>
      <c r="G1916" t="s">
        <v>133</v>
      </c>
      <c r="H1916" t="s">
        <v>133</v>
      </c>
      <c r="I1916" t="s">
        <v>133</v>
      </c>
      <c r="M1916" t="s">
        <v>291</v>
      </c>
      <c r="O1916" t="s">
        <v>161</v>
      </c>
      <c r="T1916" t="s">
        <v>1663</v>
      </c>
    </row>
    <row r="1917" spans="1:20" x14ac:dyDescent="0.2">
      <c r="A1917" t="s">
        <v>5826</v>
      </c>
      <c r="B1917" t="s">
        <v>5827</v>
      </c>
      <c r="C1917" t="s">
        <v>5828</v>
      </c>
      <c r="D1917" t="s">
        <v>14</v>
      </c>
      <c r="E1917" t="s">
        <v>133</v>
      </c>
      <c r="H1917" t="s">
        <v>133</v>
      </c>
      <c r="K1917" t="s">
        <v>5829</v>
      </c>
      <c r="L1917" t="s">
        <v>160</v>
      </c>
      <c r="O1917" t="s">
        <v>161</v>
      </c>
    </row>
    <row r="1918" spans="1:20" x14ac:dyDescent="0.2">
      <c r="A1918" t="s">
        <v>5830</v>
      </c>
      <c r="B1918" t="s">
        <v>5831</v>
      </c>
      <c r="C1918" t="s">
        <v>5832</v>
      </c>
      <c r="D1918" t="s">
        <v>14</v>
      </c>
      <c r="E1918" t="s">
        <v>133</v>
      </c>
      <c r="F1918" t="s">
        <v>133</v>
      </c>
      <c r="G1918" t="s">
        <v>133</v>
      </c>
      <c r="H1918" t="s">
        <v>133</v>
      </c>
      <c r="I1918" t="s">
        <v>133</v>
      </c>
      <c r="K1918" t="s">
        <v>5833</v>
      </c>
      <c r="O1918" t="s">
        <v>161</v>
      </c>
    </row>
    <row r="1919" spans="1:20" x14ac:dyDescent="0.2">
      <c r="A1919" t="s">
        <v>5834</v>
      </c>
      <c r="B1919" t="s">
        <v>5835</v>
      </c>
      <c r="C1919" t="s">
        <v>5836</v>
      </c>
      <c r="D1919" t="s">
        <v>14</v>
      </c>
      <c r="E1919" t="s">
        <v>133</v>
      </c>
      <c r="F1919" t="s">
        <v>133</v>
      </c>
      <c r="G1919" t="s">
        <v>133</v>
      </c>
      <c r="H1919" t="s">
        <v>133</v>
      </c>
      <c r="I1919" t="s">
        <v>133</v>
      </c>
      <c r="K1919" t="s">
        <v>5837</v>
      </c>
      <c r="O1919" t="s">
        <v>161</v>
      </c>
    </row>
    <row r="1920" spans="1:20" x14ac:dyDescent="0.2">
      <c r="A1920" t="s">
        <v>5838</v>
      </c>
      <c r="B1920" t="s">
        <v>5839</v>
      </c>
      <c r="C1920" t="s">
        <v>5840</v>
      </c>
      <c r="D1920" t="s">
        <v>24</v>
      </c>
      <c r="E1920" t="s">
        <v>133</v>
      </c>
      <c r="O1920" t="s">
        <v>511</v>
      </c>
      <c r="Q1920" t="s">
        <v>5841</v>
      </c>
      <c r="R1920" t="s">
        <v>4851</v>
      </c>
      <c r="S1920" t="s">
        <v>4852</v>
      </c>
      <c r="T1920" t="s">
        <v>1663</v>
      </c>
    </row>
    <row r="1921" spans="1:20" x14ac:dyDescent="0.2">
      <c r="A1921" t="s">
        <v>5842</v>
      </c>
      <c r="B1921" t="s">
        <v>5843</v>
      </c>
      <c r="C1921" t="s">
        <v>5844</v>
      </c>
      <c r="D1921" t="s">
        <v>24</v>
      </c>
      <c r="E1921" t="s">
        <v>133</v>
      </c>
      <c r="F1921" t="s">
        <v>133</v>
      </c>
      <c r="G1921" t="s">
        <v>133</v>
      </c>
      <c r="H1921" t="s">
        <v>133</v>
      </c>
      <c r="I1921" t="s">
        <v>133</v>
      </c>
      <c r="O1921" t="s">
        <v>161</v>
      </c>
      <c r="Q1921" t="s">
        <v>5845</v>
      </c>
      <c r="R1921" t="s">
        <v>4851</v>
      </c>
      <c r="S1921" t="s">
        <v>4852</v>
      </c>
      <c r="T1921" t="s">
        <v>1663</v>
      </c>
    </row>
    <row r="1922" spans="1:20" x14ac:dyDescent="0.2">
      <c r="A1922" t="s">
        <v>5846</v>
      </c>
      <c r="B1922" t="s">
        <v>5847</v>
      </c>
      <c r="C1922" t="s">
        <v>5848</v>
      </c>
      <c r="D1922" t="s">
        <v>24</v>
      </c>
      <c r="E1922" t="s">
        <v>133</v>
      </c>
      <c r="F1922" t="s">
        <v>133</v>
      </c>
      <c r="G1922" t="s">
        <v>133</v>
      </c>
      <c r="H1922" t="s">
        <v>133</v>
      </c>
      <c r="I1922" t="s">
        <v>133</v>
      </c>
      <c r="O1922" t="s">
        <v>161</v>
      </c>
      <c r="R1922" t="s">
        <v>1677</v>
      </c>
      <c r="S1922" t="s">
        <v>1678</v>
      </c>
      <c r="T1922" t="s">
        <v>1663</v>
      </c>
    </row>
    <row r="1923" spans="1:20" x14ac:dyDescent="0.2">
      <c r="A1923" t="s">
        <v>5849</v>
      </c>
      <c r="B1923" t="s">
        <v>5850</v>
      </c>
      <c r="C1923" t="s">
        <v>5851</v>
      </c>
      <c r="D1923" t="s">
        <v>24</v>
      </c>
      <c r="E1923" t="s">
        <v>505</v>
      </c>
      <c r="F1923" t="s">
        <v>133</v>
      </c>
      <c r="G1923" t="s">
        <v>133</v>
      </c>
      <c r="H1923" t="s">
        <v>133</v>
      </c>
      <c r="I1923" t="s">
        <v>133</v>
      </c>
      <c r="O1923" t="s">
        <v>161</v>
      </c>
      <c r="R1923" t="s">
        <v>1219</v>
      </c>
      <c r="S1923" t="s">
        <v>1220</v>
      </c>
      <c r="T1923" t="s">
        <v>1663</v>
      </c>
    </row>
    <row r="1924" spans="1:20" x14ac:dyDescent="0.2">
      <c r="A1924" t="s">
        <v>5849</v>
      </c>
      <c r="B1924" t="s">
        <v>5850</v>
      </c>
      <c r="C1924" t="s">
        <v>5851</v>
      </c>
      <c r="D1924" t="s">
        <v>14</v>
      </c>
      <c r="E1924" t="s">
        <v>255</v>
      </c>
      <c r="F1924" t="s">
        <v>133</v>
      </c>
      <c r="G1924" t="s">
        <v>133</v>
      </c>
      <c r="H1924" t="s">
        <v>133</v>
      </c>
      <c r="I1924" t="s">
        <v>133</v>
      </c>
      <c r="K1924" t="s">
        <v>5824</v>
      </c>
      <c r="O1924" t="s">
        <v>161</v>
      </c>
    </row>
    <row r="1925" spans="1:20" x14ac:dyDescent="0.2">
      <c r="A1925" t="s">
        <v>5852</v>
      </c>
      <c r="B1925" t="s">
        <v>5853</v>
      </c>
      <c r="C1925" t="s">
        <v>5854</v>
      </c>
      <c r="D1925" t="s">
        <v>14</v>
      </c>
      <c r="E1925" t="s">
        <v>133</v>
      </c>
      <c r="F1925" t="s">
        <v>133</v>
      </c>
      <c r="G1925" t="s">
        <v>133</v>
      </c>
      <c r="H1925" t="s">
        <v>133</v>
      </c>
      <c r="I1925" t="s">
        <v>133</v>
      </c>
      <c r="K1925" t="s">
        <v>5855</v>
      </c>
      <c r="O1925" t="s">
        <v>161</v>
      </c>
    </row>
    <row r="1926" spans="1:20" x14ac:dyDescent="0.2">
      <c r="A1926" t="s">
        <v>5856</v>
      </c>
      <c r="B1926" t="s">
        <v>5857</v>
      </c>
      <c r="C1926" t="s">
        <v>5858</v>
      </c>
      <c r="D1926" t="s">
        <v>14</v>
      </c>
      <c r="E1926" t="s">
        <v>133</v>
      </c>
      <c r="F1926" t="s">
        <v>133</v>
      </c>
      <c r="G1926" t="s">
        <v>133</v>
      </c>
      <c r="H1926" t="s">
        <v>133</v>
      </c>
      <c r="I1926" t="s">
        <v>133</v>
      </c>
      <c r="K1926" t="s">
        <v>5859</v>
      </c>
      <c r="O1926" t="s">
        <v>161</v>
      </c>
    </row>
    <row r="1927" spans="1:20" x14ac:dyDescent="0.2">
      <c r="A1927" t="s">
        <v>5860</v>
      </c>
      <c r="B1927" t="s">
        <v>5861</v>
      </c>
      <c r="C1927" t="s">
        <v>5862</v>
      </c>
      <c r="D1927" t="s">
        <v>24</v>
      </c>
      <c r="E1927" t="s">
        <v>133</v>
      </c>
      <c r="O1927" t="s">
        <v>511</v>
      </c>
      <c r="Q1927" t="s">
        <v>5863</v>
      </c>
      <c r="R1927" t="s">
        <v>1680</v>
      </c>
      <c r="S1927" t="s">
        <v>1658</v>
      </c>
      <c r="T1927" t="s">
        <v>1663</v>
      </c>
    </row>
    <row r="1928" spans="1:20" x14ac:dyDescent="0.2">
      <c r="A1928" t="s">
        <v>5864</v>
      </c>
      <c r="B1928" t="s">
        <v>5865</v>
      </c>
      <c r="C1928" t="s">
        <v>5866</v>
      </c>
      <c r="D1928" t="s">
        <v>14</v>
      </c>
      <c r="E1928" t="s">
        <v>133</v>
      </c>
      <c r="F1928" t="s">
        <v>133</v>
      </c>
      <c r="G1928" t="s">
        <v>133</v>
      </c>
      <c r="H1928" t="s">
        <v>133</v>
      </c>
      <c r="I1928" t="s">
        <v>133</v>
      </c>
      <c r="K1928" t="s">
        <v>5867</v>
      </c>
      <c r="O1928" t="s">
        <v>161</v>
      </c>
    </row>
    <row r="1929" spans="1:20" x14ac:dyDescent="0.2">
      <c r="A1929" t="s">
        <v>5868</v>
      </c>
      <c r="B1929" t="s">
        <v>5869</v>
      </c>
      <c r="C1929" t="s">
        <v>5870</v>
      </c>
      <c r="D1929" t="s">
        <v>24</v>
      </c>
      <c r="E1929" t="s">
        <v>133</v>
      </c>
      <c r="F1929" t="s">
        <v>133</v>
      </c>
      <c r="G1929" t="s">
        <v>133</v>
      </c>
      <c r="H1929" t="s">
        <v>133</v>
      </c>
      <c r="I1929" t="s">
        <v>133</v>
      </c>
      <c r="O1929" t="s">
        <v>511</v>
      </c>
      <c r="Q1929" t="s">
        <v>5871</v>
      </c>
      <c r="R1929" t="s">
        <v>1680</v>
      </c>
      <c r="S1929" t="s">
        <v>1658</v>
      </c>
      <c r="T1929" t="s">
        <v>1663</v>
      </c>
    </row>
    <row r="1930" spans="1:20" x14ac:dyDescent="0.2">
      <c r="A1930" t="s">
        <v>5872</v>
      </c>
      <c r="B1930" t="s">
        <v>5873</v>
      </c>
      <c r="C1930" t="s">
        <v>5874</v>
      </c>
      <c r="D1930" t="s">
        <v>14</v>
      </c>
      <c r="E1930" t="s">
        <v>133</v>
      </c>
      <c r="F1930" t="s">
        <v>133</v>
      </c>
      <c r="G1930" t="s">
        <v>133</v>
      </c>
      <c r="H1930" t="s">
        <v>133</v>
      </c>
      <c r="I1930" t="s">
        <v>133</v>
      </c>
      <c r="K1930" t="s">
        <v>5875</v>
      </c>
      <c r="O1930" t="s">
        <v>161</v>
      </c>
    </row>
    <row r="1931" spans="1:20" x14ac:dyDescent="0.2">
      <c r="A1931" t="s">
        <v>5876</v>
      </c>
      <c r="B1931" t="s">
        <v>5877</v>
      </c>
      <c r="C1931" t="s">
        <v>5878</v>
      </c>
      <c r="D1931" t="s">
        <v>35</v>
      </c>
      <c r="E1931" t="s">
        <v>505</v>
      </c>
      <c r="F1931" t="s">
        <v>133</v>
      </c>
      <c r="G1931" t="s">
        <v>133</v>
      </c>
      <c r="H1931" t="s">
        <v>4818</v>
      </c>
      <c r="I1931" t="s">
        <v>133</v>
      </c>
      <c r="O1931" t="s">
        <v>511</v>
      </c>
      <c r="Q1931" t="s">
        <v>5879</v>
      </c>
      <c r="R1931" t="s">
        <v>1682</v>
      </c>
      <c r="S1931" t="s">
        <v>1683</v>
      </c>
      <c r="T1931" t="s">
        <v>1663</v>
      </c>
    </row>
    <row r="1932" spans="1:20" x14ac:dyDescent="0.2">
      <c r="A1932" t="s">
        <v>5876</v>
      </c>
      <c r="B1932" t="s">
        <v>5877</v>
      </c>
      <c r="C1932" t="s">
        <v>5878</v>
      </c>
      <c r="D1932" t="s">
        <v>35</v>
      </c>
      <c r="E1932" t="s">
        <v>505</v>
      </c>
      <c r="F1932" t="s">
        <v>133</v>
      </c>
      <c r="G1932" t="s">
        <v>133</v>
      </c>
      <c r="H1932" t="s">
        <v>1684</v>
      </c>
      <c r="I1932" t="s">
        <v>133</v>
      </c>
      <c r="O1932" t="s">
        <v>511</v>
      </c>
      <c r="Q1932" t="s">
        <v>5879</v>
      </c>
      <c r="R1932" t="s">
        <v>1685</v>
      </c>
      <c r="S1932" t="s">
        <v>1686</v>
      </c>
      <c r="T1932" t="s">
        <v>1663</v>
      </c>
    </row>
    <row r="1933" spans="1:20" x14ac:dyDescent="0.2">
      <c r="A1933" t="s">
        <v>5876</v>
      </c>
      <c r="B1933" t="s">
        <v>5877</v>
      </c>
      <c r="C1933" t="s">
        <v>5878</v>
      </c>
      <c r="D1933" t="s">
        <v>14</v>
      </c>
      <c r="E1933" t="s">
        <v>255</v>
      </c>
      <c r="F1933" t="s">
        <v>133</v>
      </c>
      <c r="G1933" t="s">
        <v>133</v>
      </c>
      <c r="H1933" t="s">
        <v>133</v>
      </c>
      <c r="I1933" t="s">
        <v>133</v>
      </c>
      <c r="K1933" t="s">
        <v>5880</v>
      </c>
      <c r="O1933" t="s">
        <v>511</v>
      </c>
      <c r="Q1933" t="s">
        <v>5879</v>
      </c>
    </row>
    <row r="1934" spans="1:20" x14ac:dyDescent="0.2">
      <c r="A1934" t="s">
        <v>5881</v>
      </c>
      <c r="B1934" t="s">
        <v>5882</v>
      </c>
      <c r="C1934" t="s">
        <v>5883</v>
      </c>
      <c r="D1934" t="s">
        <v>14</v>
      </c>
      <c r="E1934" t="s">
        <v>133</v>
      </c>
      <c r="H1934" t="s">
        <v>133</v>
      </c>
      <c r="K1934" t="s">
        <v>5884</v>
      </c>
      <c r="L1934" t="s">
        <v>160</v>
      </c>
      <c r="O1934" t="s">
        <v>161</v>
      </c>
    </row>
    <row r="1935" spans="1:20" x14ac:dyDescent="0.2">
      <c r="A1935" t="s">
        <v>5885</v>
      </c>
      <c r="B1935" t="s">
        <v>5886</v>
      </c>
      <c r="C1935" t="s">
        <v>5887</v>
      </c>
      <c r="D1935" t="s">
        <v>14</v>
      </c>
      <c r="E1935" t="s">
        <v>133</v>
      </c>
      <c r="F1935" t="s">
        <v>133</v>
      </c>
      <c r="G1935" t="s">
        <v>133</v>
      </c>
      <c r="H1935" t="s">
        <v>4219</v>
      </c>
      <c r="I1935" t="s">
        <v>133</v>
      </c>
      <c r="K1935" t="s">
        <v>5888</v>
      </c>
      <c r="O1935" t="s">
        <v>161</v>
      </c>
    </row>
    <row r="1936" spans="1:20" x14ac:dyDescent="0.2">
      <c r="A1936" t="s">
        <v>5889</v>
      </c>
      <c r="B1936" t="s">
        <v>5853</v>
      </c>
      <c r="C1936" t="s">
        <v>5888</v>
      </c>
      <c r="D1936" t="s">
        <v>24</v>
      </c>
      <c r="E1936" t="s">
        <v>133</v>
      </c>
      <c r="F1936" t="s">
        <v>133</v>
      </c>
      <c r="G1936" t="s">
        <v>133</v>
      </c>
      <c r="H1936" t="s">
        <v>133</v>
      </c>
      <c r="I1936" t="s">
        <v>133</v>
      </c>
      <c r="M1936" t="s">
        <v>291</v>
      </c>
      <c r="O1936" t="s">
        <v>161</v>
      </c>
      <c r="T1936" t="s">
        <v>1663</v>
      </c>
    </row>
    <row r="1937" spans="1:20" x14ac:dyDescent="0.2">
      <c r="A1937" t="s">
        <v>5890</v>
      </c>
      <c r="B1937" t="s">
        <v>5891</v>
      </c>
      <c r="C1937" t="s">
        <v>5892</v>
      </c>
      <c r="D1937" t="s">
        <v>14</v>
      </c>
      <c r="E1937" t="s">
        <v>133</v>
      </c>
      <c r="H1937" t="s">
        <v>133</v>
      </c>
      <c r="K1937" t="s">
        <v>5893</v>
      </c>
      <c r="L1937" t="s">
        <v>160</v>
      </c>
      <c r="O1937" t="s">
        <v>161</v>
      </c>
    </row>
    <row r="1938" spans="1:20" x14ac:dyDescent="0.2">
      <c r="A1938" t="s">
        <v>5894</v>
      </c>
      <c r="B1938" t="s">
        <v>5895</v>
      </c>
      <c r="C1938" t="s">
        <v>5896</v>
      </c>
      <c r="D1938" t="s">
        <v>14</v>
      </c>
      <c r="E1938" t="s">
        <v>133</v>
      </c>
      <c r="F1938" t="s">
        <v>133</v>
      </c>
      <c r="G1938" t="s">
        <v>133</v>
      </c>
      <c r="H1938" t="s">
        <v>133</v>
      </c>
      <c r="I1938" t="s">
        <v>133</v>
      </c>
      <c r="K1938" t="s">
        <v>5897</v>
      </c>
      <c r="O1938" t="s">
        <v>161</v>
      </c>
    </row>
    <row r="1939" spans="1:20" x14ac:dyDescent="0.2">
      <c r="A1939" t="s">
        <v>5898</v>
      </c>
      <c r="B1939" t="s">
        <v>5899</v>
      </c>
      <c r="C1939" t="s">
        <v>5900</v>
      </c>
      <c r="D1939" t="s">
        <v>14</v>
      </c>
      <c r="E1939" t="s">
        <v>133</v>
      </c>
      <c r="F1939" t="s">
        <v>133</v>
      </c>
      <c r="G1939" t="s">
        <v>133</v>
      </c>
      <c r="H1939" t="s">
        <v>133</v>
      </c>
      <c r="I1939" t="s">
        <v>133</v>
      </c>
      <c r="K1939" t="s">
        <v>5901</v>
      </c>
      <c r="O1939" t="s">
        <v>161</v>
      </c>
    </row>
    <row r="1940" spans="1:20" x14ac:dyDescent="0.2">
      <c r="A1940" t="s">
        <v>5902</v>
      </c>
      <c r="B1940" t="s">
        <v>5903</v>
      </c>
      <c r="C1940" t="s">
        <v>5904</v>
      </c>
      <c r="D1940" t="s">
        <v>24</v>
      </c>
      <c r="E1940" t="s">
        <v>133</v>
      </c>
      <c r="O1940" t="s">
        <v>511</v>
      </c>
      <c r="Q1940" t="s">
        <v>5905</v>
      </c>
      <c r="R1940" t="s">
        <v>4851</v>
      </c>
      <c r="S1940" t="s">
        <v>4852</v>
      </c>
      <c r="T1940" t="s">
        <v>1663</v>
      </c>
    </row>
    <row r="1941" spans="1:20" x14ac:dyDescent="0.2">
      <c r="A1941" t="s">
        <v>5906</v>
      </c>
      <c r="B1941" t="s">
        <v>5907</v>
      </c>
      <c r="C1941" t="s">
        <v>5908</v>
      </c>
      <c r="D1941" t="s">
        <v>24</v>
      </c>
      <c r="E1941" t="s">
        <v>133</v>
      </c>
      <c r="F1941" t="s">
        <v>133</v>
      </c>
      <c r="G1941" t="s">
        <v>133</v>
      </c>
      <c r="H1941" t="s">
        <v>133</v>
      </c>
      <c r="I1941" t="s">
        <v>133</v>
      </c>
      <c r="O1941" t="s">
        <v>161</v>
      </c>
      <c r="Q1941" t="s">
        <v>5909</v>
      </c>
      <c r="R1941" t="s">
        <v>4851</v>
      </c>
      <c r="S1941" t="s">
        <v>4852</v>
      </c>
      <c r="T1941" t="s">
        <v>1663</v>
      </c>
    </row>
    <row r="1942" spans="1:20" x14ac:dyDescent="0.2">
      <c r="A1942" t="s">
        <v>5910</v>
      </c>
      <c r="B1942" t="s">
        <v>5911</v>
      </c>
      <c r="C1942" t="s">
        <v>5912</v>
      </c>
      <c r="D1942" t="s">
        <v>24</v>
      </c>
      <c r="E1942" t="s">
        <v>133</v>
      </c>
      <c r="F1942" t="s">
        <v>133</v>
      </c>
      <c r="G1942" t="s">
        <v>133</v>
      </c>
      <c r="H1942" t="s">
        <v>133</v>
      </c>
      <c r="I1942" t="s">
        <v>133</v>
      </c>
      <c r="O1942" t="s">
        <v>161</v>
      </c>
      <c r="R1942" t="s">
        <v>1677</v>
      </c>
      <c r="S1942" t="s">
        <v>1678</v>
      </c>
      <c r="T1942" t="s">
        <v>1663</v>
      </c>
    </row>
    <row r="1943" spans="1:20" x14ac:dyDescent="0.2">
      <c r="A1943" t="s">
        <v>5913</v>
      </c>
      <c r="B1943" t="s">
        <v>5914</v>
      </c>
      <c r="C1943" t="s">
        <v>5915</v>
      </c>
      <c r="D1943" t="s">
        <v>24</v>
      </c>
      <c r="E1943" t="s">
        <v>505</v>
      </c>
      <c r="F1943" t="s">
        <v>133</v>
      </c>
      <c r="G1943" t="s">
        <v>133</v>
      </c>
      <c r="H1943" t="s">
        <v>133</v>
      </c>
      <c r="I1943" t="s">
        <v>133</v>
      </c>
      <c r="O1943" t="s">
        <v>161</v>
      </c>
      <c r="R1943" t="s">
        <v>1219</v>
      </c>
      <c r="S1943" t="s">
        <v>1220</v>
      </c>
      <c r="T1943" t="s">
        <v>1663</v>
      </c>
    </row>
    <row r="1944" spans="1:20" x14ac:dyDescent="0.2">
      <c r="A1944" t="s">
        <v>5913</v>
      </c>
      <c r="B1944" t="s">
        <v>5914</v>
      </c>
      <c r="C1944" t="s">
        <v>5915</v>
      </c>
      <c r="D1944" t="s">
        <v>14</v>
      </c>
      <c r="E1944" t="s">
        <v>255</v>
      </c>
      <c r="F1944" t="s">
        <v>133</v>
      </c>
      <c r="G1944" t="s">
        <v>133</v>
      </c>
      <c r="H1944" t="s">
        <v>133</v>
      </c>
      <c r="I1944" t="s">
        <v>133</v>
      </c>
      <c r="K1944" t="s">
        <v>5888</v>
      </c>
      <c r="O1944" t="s">
        <v>161</v>
      </c>
    </row>
    <row r="1945" spans="1:20" x14ac:dyDescent="0.2">
      <c r="A1945" t="s">
        <v>5916</v>
      </c>
      <c r="B1945" t="s">
        <v>5917</v>
      </c>
      <c r="C1945" t="s">
        <v>5918</v>
      </c>
      <c r="D1945" t="s">
        <v>61</v>
      </c>
      <c r="E1945" t="s">
        <v>133</v>
      </c>
      <c r="F1945" t="s">
        <v>133</v>
      </c>
      <c r="G1945" t="s">
        <v>133</v>
      </c>
      <c r="H1945" t="s">
        <v>133</v>
      </c>
      <c r="I1945" t="s">
        <v>133</v>
      </c>
      <c r="K1945" t="s">
        <v>5919</v>
      </c>
      <c r="M1945" t="s">
        <v>282</v>
      </c>
      <c r="O1945" t="s">
        <v>161</v>
      </c>
    </row>
    <row r="1946" spans="1:20" x14ac:dyDescent="0.2">
      <c r="A1946" t="s">
        <v>1664</v>
      </c>
      <c r="B1946" t="s">
        <v>1665</v>
      </c>
      <c r="C1946" t="s">
        <v>430</v>
      </c>
      <c r="D1946" t="s">
        <v>35</v>
      </c>
      <c r="E1946" t="s">
        <v>133</v>
      </c>
      <c r="F1946" t="s">
        <v>133</v>
      </c>
      <c r="G1946" t="s">
        <v>133</v>
      </c>
      <c r="H1946" t="s">
        <v>133</v>
      </c>
      <c r="I1946" t="s">
        <v>133</v>
      </c>
      <c r="M1946" t="s">
        <v>291</v>
      </c>
      <c r="O1946" t="s">
        <v>161</v>
      </c>
      <c r="T1946" t="s">
        <v>1666</v>
      </c>
    </row>
    <row r="1947" spans="1:20" x14ac:dyDescent="0.2">
      <c r="A1947" t="s">
        <v>5920</v>
      </c>
      <c r="B1947" t="s">
        <v>5921</v>
      </c>
      <c r="C1947" t="s">
        <v>5922</v>
      </c>
      <c r="D1947" t="s">
        <v>61</v>
      </c>
      <c r="E1947" t="s">
        <v>133</v>
      </c>
      <c r="F1947" t="s">
        <v>133</v>
      </c>
      <c r="G1947" t="s">
        <v>133</v>
      </c>
      <c r="H1947" t="s">
        <v>133</v>
      </c>
      <c r="I1947" t="s">
        <v>133</v>
      </c>
      <c r="K1947" t="s">
        <v>5923</v>
      </c>
      <c r="M1947" t="s">
        <v>282</v>
      </c>
      <c r="O1947" t="s">
        <v>161</v>
      </c>
    </row>
    <row r="1948" spans="1:20" x14ac:dyDescent="0.2">
      <c r="A1948" t="s">
        <v>5924</v>
      </c>
      <c r="B1948" t="s">
        <v>5925</v>
      </c>
      <c r="C1948" t="s">
        <v>5926</v>
      </c>
      <c r="D1948" t="s">
        <v>35</v>
      </c>
      <c r="E1948" t="s">
        <v>133</v>
      </c>
      <c r="F1948" t="s">
        <v>133</v>
      </c>
      <c r="G1948" t="s">
        <v>133</v>
      </c>
      <c r="H1948" t="s">
        <v>133</v>
      </c>
      <c r="I1948" t="s">
        <v>133</v>
      </c>
      <c r="M1948" t="s">
        <v>282</v>
      </c>
      <c r="O1948" t="s">
        <v>161</v>
      </c>
      <c r="R1948" t="s">
        <v>5927</v>
      </c>
      <c r="S1948" t="s">
        <v>5928</v>
      </c>
      <c r="T1948" t="s">
        <v>1666</v>
      </c>
    </row>
    <row r="1949" spans="1:20" x14ac:dyDescent="0.2">
      <c r="A1949" t="s">
        <v>5929</v>
      </c>
      <c r="B1949" t="s">
        <v>5930</v>
      </c>
      <c r="C1949" t="s">
        <v>5931</v>
      </c>
      <c r="D1949" t="s">
        <v>61</v>
      </c>
      <c r="E1949" t="s">
        <v>133</v>
      </c>
      <c r="F1949" t="s">
        <v>133</v>
      </c>
      <c r="G1949" t="s">
        <v>133</v>
      </c>
      <c r="H1949" t="s">
        <v>133</v>
      </c>
      <c r="I1949" t="s">
        <v>133</v>
      </c>
      <c r="K1949" t="s">
        <v>5932</v>
      </c>
      <c r="M1949" t="s">
        <v>282</v>
      </c>
      <c r="O1949" t="s">
        <v>161</v>
      </c>
    </row>
    <row r="1950" spans="1:20" x14ac:dyDescent="0.2">
      <c r="A1950" t="s">
        <v>5933</v>
      </c>
      <c r="B1950" t="s">
        <v>5934</v>
      </c>
      <c r="C1950" t="s">
        <v>5935</v>
      </c>
      <c r="D1950" t="s">
        <v>24</v>
      </c>
      <c r="E1950" t="s">
        <v>505</v>
      </c>
      <c r="F1950" t="s">
        <v>133</v>
      </c>
      <c r="G1950" t="s">
        <v>133</v>
      </c>
      <c r="H1950" t="s">
        <v>1681</v>
      </c>
      <c r="I1950" t="s">
        <v>133</v>
      </c>
      <c r="M1950" t="s">
        <v>282</v>
      </c>
      <c r="O1950" t="s">
        <v>511</v>
      </c>
      <c r="R1950" t="s">
        <v>1682</v>
      </c>
      <c r="S1950" t="s">
        <v>1683</v>
      </c>
      <c r="T1950" t="s">
        <v>1666</v>
      </c>
    </row>
    <row r="1951" spans="1:20" x14ac:dyDescent="0.2">
      <c r="A1951" t="s">
        <v>5933</v>
      </c>
      <c r="B1951" t="s">
        <v>5934</v>
      </c>
      <c r="C1951" t="s">
        <v>5935</v>
      </c>
      <c r="D1951" t="s">
        <v>24</v>
      </c>
      <c r="E1951" t="s">
        <v>505</v>
      </c>
      <c r="F1951" t="s">
        <v>133</v>
      </c>
      <c r="G1951" t="s">
        <v>133</v>
      </c>
      <c r="H1951" t="s">
        <v>1684</v>
      </c>
      <c r="I1951" t="s">
        <v>133</v>
      </c>
      <c r="M1951" t="s">
        <v>282</v>
      </c>
      <c r="O1951" t="s">
        <v>511</v>
      </c>
      <c r="R1951" t="s">
        <v>1685</v>
      </c>
      <c r="S1951" t="s">
        <v>1686</v>
      </c>
      <c r="T1951" t="s">
        <v>1666</v>
      </c>
    </row>
    <row r="1952" spans="1:20" x14ac:dyDescent="0.2">
      <c r="A1952" t="s">
        <v>5933</v>
      </c>
      <c r="B1952" t="s">
        <v>5934</v>
      </c>
      <c r="C1952" t="s">
        <v>5935</v>
      </c>
      <c r="D1952" t="s">
        <v>14</v>
      </c>
      <c r="E1952" t="s">
        <v>255</v>
      </c>
      <c r="F1952" t="s">
        <v>133</v>
      </c>
      <c r="G1952" t="s">
        <v>133</v>
      </c>
      <c r="H1952" t="s">
        <v>133</v>
      </c>
      <c r="I1952" t="s">
        <v>133</v>
      </c>
      <c r="K1952" t="s">
        <v>5936</v>
      </c>
      <c r="O1952" t="s">
        <v>511</v>
      </c>
    </row>
    <row r="1953" spans="1:20" x14ac:dyDescent="0.2">
      <c r="A1953" t="s">
        <v>5937</v>
      </c>
      <c r="B1953" t="s">
        <v>5938</v>
      </c>
      <c r="C1953" t="s">
        <v>5939</v>
      </c>
      <c r="D1953" t="s">
        <v>61</v>
      </c>
      <c r="E1953" t="s">
        <v>133</v>
      </c>
      <c r="H1953" t="s">
        <v>133</v>
      </c>
      <c r="K1953" t="s">
        <v>5940</v>
      </c>
      <c r="L1953" t="s">
        <v>160</v>
      </c>
      <c r="M1953" t="s">
        <v>282</v>
      </c>
      <c r="O1953" t="s">
        <v>161</v>
      </c>
    </row>
    <row r="1954" spans="1:20" x14ac:dyDescent="0.2">
      <c r="A1954" t="s">
        <v>5941</v>
      </c>
      <c r="B1954" t="s">
        <v>5942</v>
      </c>
      <c r="C1954" t="s">
        <v>5943</v>
      </c>
      <c r="D1954" t="s">
        <v>61</v>
      </c>
      <c r="E1954" t="s">
        <v>133</v>
      </c>
      <c r="F1954" t="s">
        <v>133</v>
      </c>
      <c r="G1954" t="s">
        <v>133</v>
      </c>
      <c r="H1954" t="s">
        <v>2864</v>
      </c>
      <c r="I1954" t="s">
        <v>133</v>
      </c>
      <c r="K1954" t="s">
        <v>430</v>
      </c>
      <c r="M1954" t="s">
        <v>282</v>
      </c>
      <c r="O1954" t="s">
        <v>161</v>
      </c>
    </row>
    <row r="1955" spans="1:20" x14ac:dyDescent="0.2">
      <c r="A1955" t="s">
        <v>5944</v>
      </c>
      <c r="B1955" t="s">
        <v>5945</v>
      </c>
      <c r="C1955" t="s">
        <v>5946</v>
      </c>
      <c r="D1955" t="s">
        <v>61</v>
      </c>
      <c r="E1955" t="s">
        <v>133</v>
      </c>
      <c r="K1955" t="s">
        <v>5947</v>
      </c>
      <c r="L1955" t="s">
        <v>135</v>
      </c>
      <c r="M1955" t="s">
        <v>282</v>
      </c>
      <c r="O1955" t="s">
        <v>161</v>
      </c>
    </row>
    <row r="1956" spans="1:20" x14ac:dyDescent="0.2">
      <c r="A1956" t="s">
        <v>5948</v>
      </c>
      <c r="B1956" t="s">
        <v>5949</v>
      </c>
      <c r="C1956" t="s">
        <v>5950</v>
      </c>
      <c r="D1956" t="s">
        <v>61</v>
      </c>
      <c r="E1956" t="s">
        <v>133</v>
      </c>
      <c r="F1956" t="s">
        <v>133</v>
      </c>
      <c r="G1956" t="s">
        <v>133</v>
      </c>
      <c r="H1956" t="s">
        <v>133</v>
      </c>
      <c r="I1956" t="s">
        <v>133</v>
      </c>
      <c r="K1956" t="s">
        <v>5951</v>
      </c>
      <c r="M1956" t="s">
        <v>282</v>
      </c>
      <c r="O1956" t="s">
        <v>161</v>
      </c>
    </row>
    <row r="1957" spans="1:20" x14ac:dyDescent="0.2">
      <c r="A1957" t="s">
        <v>5952</v>
      </c>
      <c r="B1957" t="s">
        <v>5953</v>
      </c>
      <c r="C1957" t="s">
        <v>5954</v>
      </c>
      <c r="D1957" t="s">
        <v>61</v>
      </c>
      <c r="E1957" t="s">
        <v>133</v>
      </c>
      <c r="K1957" t="s">
        <v>5955</v>
      </c>
      <c r="M1957" t="s">
        <v>282</v>
      </c>
      <c r="O1957" t="s">
        <v>161</v>
      </c>
    </row>
    <row r="1958" spans="1:20" x14ac:dyDescent="0.2">
      <c r="A1958" t="s">
        <v>5956</v>
      </c>
      <c r="B1958" t="s">
        <v>5957</v>
      </c>
      <c r="C1958" t="s">
        <v>5958</v>
      </c>
      <c r="D1958" t="s">
        <v>35</v>
      </c>
      <c r="E1958" t="s">
        <v>133</v>
      </c>
      <c r="M1958" t="s">
        <v>282</v>
      </c>
      <c r="O1958" t="s">
        <v>161</v>
      </c>
      <c r="Q1958" t="s">
        <v>5959</v>
      </c>
      <c r="R1958" t="s">
        <v>5927</v>
      </c>
      <c r="S1958" t="s">
        <v>5928</v>
      </c>
      <c r="T1958" t="s">
        <v>1666</v>
      </c>
    </row>
    <row r="1959" spans="1:20" x14ac:dyDescent="0.2">
      <c r="A1959" t="s">
        <v>5960</v>
      </c>
      <c r="B1959" t="s">
        <v>5961</v>
      </c>
      <c r="C1959" t="s">
        <v>5962</v>
      </c>
      <c r="D1959" t="s">
        <v>61</v>
      </c>
      <c r="E1959" t="s">
        <v>133</v>
      </c>
      <c r="K1959" t="s">
        <v>5963</v>
      </c>
      <c r="M1959" t="s">
        <v>282</v>
      </c>
      <c r="O1959" t="s">
        <v>150</v>
      </c>
    </row>
    <row r="1960" spans="1:20" x14ac:dyDescent="0.2">
      <c r="A1960" t="s">
        <v>5964</v>
      </c>
      <c r="B1960" t="s">
        <v>5965</v>
      </c>
      <c r="C1960" t="s">
        <v>5966</v>
      </c>
      <c r="D1960" t="s">
        <v>35</v>
      </c>
      <c r="E1960" t="s">
        <v>133</v>
      </c>
      <c r="M1960" t="s">
        <v>282</v>
      </c>
      <c r="O1960" t="s">
        <v>161</v>
      </c>
      <c r="Q1960" t="s">
        <v>5967</v>
      </c>
      <c r="R1960" t="s">
        <v>5927</v>
      </c>
      <c r="S1960" t="s">
        <v>5928</v>
      </c>
      <c r="T1960" t="s">
        <v>1666</v>
      </c>
    </row>
    <row r="1961" spans="1:20" x14ac:dyDescent="0.2">
      <c r="A1961" t="s">
        <v>5968</v>
      </c>
      <c r="B1961" t="s">
        <v>5969</v>
      </c>
      <c r="C1961" t="s">
        <v>5970</v>
      </c>
      <c r="D1961" t="s">
        <v>61</v>
      </c>
      <c r="E1961" t="s">
        <v>133</v>
      </c>
      <c r="K1961" t="s">
        <v>5971</v>
      </c>
      <c r="M1961" t="s">
        <v>282</v>
      </c>
      <c r="O1961" t="s">
        <v>150</v>
      </c>
    </row>
    <row r="1962" spans="1:20" x14ac:dyDescent="0.2">
      <c r="A1962" t="s">
        <v>5972</v>
      </c>
      <c r="B1962" t="s">
        <v>5973</v>
      </c>
      <c r="C1962" t="s">
        <v>5974</v>
      </c>
      <c r="D1962" t="s">
        <v>35</v>
      </c>
      <c r="E1962" t="s">
        <v>133</v>
      </c>
      <c r="M1962" t="s">
        <v>282</v>
      </c>
      <c r="O1962" t="s">
        <v>511</v>
      </c>
      <c r="Q1962" t="s">
        <v>5975</v>
      </c>
      <c r="R1962" t="s">
        <v>5927</v>
      </c>
      <c r="S1962" t="s">
        <v>5928</v>
      </c>
      <c r="T1962" t="s">
        <v>1666</v>
      </c>
    </row>
    <row r="1963" spans="1:20" x14ac:dyDescent="0.2">
      <c r="A1963" t="s">
        <v>5976</v>
      </c>
      <c r="B1963" t="s">
        <v>5977</v>
      </c>
      <c r="C1963" t="s">
        <v>5978</v>
      </c>
      <c r="D1963" t="s">
        <v>61</v>
      </c>
      <c r="E1963" t="s">
        <v>133</v>
      </c>
      <c r="K1963" t="s">
        <v>5979</v>
      </c>
      <c r="M1963" t="s">
        <v>282</v>
      </c>
      <c r="O1963" t="s">
        <v>150</v>
      </c>
    </row>
    <row r="1964" spans="1:20" x14ac:dyDescent="0.2">
      <c r="A1964" t="s">
        <v>5980</v>
      </c>
      <c r="B1964" t="s">
        <v>5981</v>
      </c>
      <c r="C1964" t="s">
        <v>5982</v>
      </c>
      <c r="D1964" t="s">
        <v>35</v>
      </c>
      <c r="E1964" t="s">
        <v>133</v>
      </c>
      <c r="M1964" t="s">
        <v>282</v>
      </c>
      <c r="O1964" t="s">
        <v>511</v>
      </c>
      <c r="Q1964" t="s">
        <v>5983</v>
      </c>
      <c r="R1964" t="s">
        <v>1677</v>
      </c>
      <c r="S1964" t="s">
        <v>1678</v>
      </c>
      <c r="T1964" t="s">
        <v>1666</v>
      </c>
    </row>
    <row r="1965" spans="1:20" x14ac:dyDescent="0.2">
      <c r="A1965" t="s">
        <v>5984</v>
      </c>
      <c r="B1965" t="s">
        <v>5985</v>
      </c>
      <c r="C1965" t="s">
        <v>5986</v>
      </c>
      <c r="D1965" t="s">
        <v>61</v>
      </c>
      <c r="E1965" t="s">
        <v>133</v>
      </c>
      <c r="K1965" t="s">
        <v>5987</v>
      </c>
      <c r="M1965" t="s">
        <v>282</v>
      </c>
      <c r="O1965" t="s">
        <v>150</v>
      </c>
    </row>
    <row r="1966" spans="1:20" x14ac:dyDescent="0.2">
      <c r="A1966" t="s">
        <v>5988</v>
      </c>
      <c r="B1966" t="s">
        <v>5989</v>
      </c>
      <c r="C1966" t="s">
        <v>5990</v>
      </c>
      <c r="D1966" t="s">
        <v>35</v>
      </c>
      <c r="E1966" t="s">
        <v>133</v>
      </c>
      <c r="M1966" t="s">
        <v>282</v>
      </c>
      <c r="O1966" t="s">
        <v>511</v>
      </c>
      <c r="Q1966" t="s">
        <v>5991</v>
      </c>
      <c r="R1966" t="s">
        <v>1677</v>
      </c>
      <c r="S1966" t="s">
        <v>1678</v>
      </c>
      <c r="T1966" t="s">
        <v>1666</v>
      </c>
    </row>
    <row r="1967" spans="1:20" x14ac:dyDescent="0.2">
      <c r="A1967" t="s">
        <v>5992</v>
      </c>
      <c r="B1967" t="s">
        <v>5993</v>
      </c>
      <c r="C1967" t="s">
        <v>5994</v>
      </c>
      <c r="D1967" t="s">
        <v>61</v>
      </c>
      <c r="E1967" t="s">
        <v>133</v>
      </c>
      <c r="K1967" t="s">
        <v>1190</v>
      </c>
      <c r="L1967" t="s">
        <v>160</v>
      </c>
      <c r="M1967" t="s">
        <v>282</v>
      </c>
      <c r="O1967" t="s">
        <v>150</v>
      </c>
    </row>
    <row r="1968" spans="1:20" x14ac:dyDescent="0.2">
      <c r="A1968" t="s">
        <v>5995</v>
      </c>
      <c r="B1968" t="s">
        <v>5996</v>
      </c>
      <c r="C1968" t="s">
        <v>5997</v>
      </c>
      <c r="D1968" t="s">
        <v>35</v>
      </c>
      <c r="E1968" t="s">
        <v>5998</v>
      </c>
      <c r="F1968" t="s">
        <v>133</v>
      </c>
      <c r="G1968" t="s">
        <v>133</v>
      </c>
      <c r="H1968" t="s">
        <v>133</v>
      </c>
      <c r="I1968" t="s">
        <v>133</v>
      </c>
      <c r="M1968" t="s">
        <v>282</v>
      </c>
      <c r="O1968" t="s">
        <v>511</v>
      </c>
      <c r="Q1968" t="s">
        <v>5999</v>
      </c>
      <c r="R1968" t="s">
        <v>5927</v>
      </c>
      <c r="S1968" t="s">
        <v>5928</v>
      </c>
      <c r="T1968" t="s">
        <v>1666</v>
      </c>
    </row>
    <row r="1969" spans="1:20" x14ac:dyDescent="0.2">
      <c r="A1969" t="s">
        <v>5995</v>
      </c>
      <c r="B1969" t="s">
        <v>5996</v>
      </c>
      <c r="C1969" t="s">
        <v>5997</v>
      </c>
      <c r="D1969" t="s">
        <v>61</v>
      </c>
      <c r="E1969" t="s">
        <v>255</v>
      </c>
      <c r="F1969" t="s">
        <v>133</v>
      </c>
      <c r="G1969" t="s">
        <v>133</v>
      </c>
      <c r="H1969" t="s">
        <v>133</v>
      </c>
      <c r="I1969" t="s">
        <v>133</v>
      </c>
      <c r="K1969" t="s">
        <v>6000</v>
      </c>
      <c r="M1969" t="s">
        <v>282</v>
      </c>
      <c r="O1969" t="s">
        <v>511</v>
      </c>
      <c r="Q1969" t="s">
        <v>5999</v>
      </c>
    </row>
    <row r="1970" spans="1:20" x14ac:dyDescent="0.2">
      <c r="A1970" t="s">
        <v>6001</v>
      </c>
      <c r="B1970" t="s">
        <v>6002</v>
      </c>
      <c r="C1970" t="s">
        <v>6003</v>
      </c>
      <c r="D1970" t="s">
        <v>35</v>
      </c>
      <c r="E1970" t="s">
        <v>133</v>
      </c>
      <c r="F1970" t="s">
        <v>133</v>
      </c>
      <c r="G1970" t="s">
        <v>133</v>
      </c>
      <c r="H1970" t="s">
        <v>133</v>
      </c>
      <c r="I1970" t="s">
        <v>133</v>
      </c>
      <c r="M1970" t="s">
        <v>282</v>
      </c>
      <c r="O1970" t="s">
        <v>161</v>
      </c>
      <c r="R1970" t="s">
        <v>5927</v>
      </c>
      <c r="S1970" t="s">
        <v>5928</v>
      </c>
      <c r="T1970" t="s">
        <v>1666</v>
      </c>
    </row>
    <row r="1971" spans="1:20" x14ac:dyDescent="0.2">
      <c r="A1971" t="s">
        <v>6004</v>
      </c>
      <c r="B1971" t="s">
        <v>6005</v>
      </c>
      <c r="C1971" t="s">
        <v>6006</v>
      </c>
      <c r="D1971" t="s">
        <v>61</v>
      </c>
      <c r="E1971" t="s">
        <v>133</v>
      </c>
      <c r="K1971" t="s">
        <v>6007</v>
      </c>
      <c r="L1971" t="s">
        <v>160</v>
      </c>
      <c r="M1971" t="s">
        <v>282</v>
      </c>
      <c r="O1971" t="s">
        <v>161</v>
      </c>
    </row>
    <row r="1972" spans="1:20" x14ac:dyDescent="0.2">
      <c r="A1972" t="s">
        <v>6008</v>
      </c>
      <c r="B1972" t="s">
        <v>6009</v>
      </c>
      <c r="C1972" t="s">
        <v>6010</v>
      </c>
      <c r="D1972" t="s">
        <v>61</v>
      </c>
      <c r="E1972" t="s">
        <v>133</v>
      </c>
      <c r="F1972" t="s">
        <v>133</v>
      </c>
      <c r="G1972" t="s">
        <v>133</v>
      </c>
      <c r="H1972" t="s">
        <v>133</v>
      </c>
      <c r="I1972" t="s">
        <v>133</v>
      </c>
      <c r="K1972" t="s">
        <v>6011</v>
      </c>
      <c r="O1972" t="s">
        <v>161</v>
      </c>
    </row>
    <row r="1973" spans="1:20" x14ac:dyDescent="0.2">
      <c r="A1973" t="s">
        <v>1667</v>
      </c>
      <c r="B1973" t="s">
        <v>1668</v>
      </c>
      <c r="C1973" t="s">
        <v>450</v>
      </c>
      <c r="D1973" t="s">
        <v>35</v>
      </c>
      <c r="E1973" t="s">
        <v>133</v>
      </c>
      <c r="F1973" t="s">
        <v>133</v>
      </c>
      <c r="G1973" t="s">
        <v>133</v>
      </c>
      <c r="H1973" t="s">
        <v>133</v>
      </c>
      <c r="I1973" t="s">
        <v>133</v>
      </c>
      <c r="M1973" t="s">
        <v>291</v>
      </c>
      <c r="O1973" t="s">
        <v>161</v>
      </c>
      <c r="T1973" t="s">
        <v>1669</v>
      </c>
    </row>
    <row r="1974" spans="1:20" x14ac:dyDescent="0.2">
      <c r="A1974" t="s">
        <v>6012</v>
      </c>
      <c r="B1974" t="s">
        <v>6013</v>
      </c>
      <c r="C1974" t="s">
        <v>6014</v>
      </c>
      <c r="D1974" t="s">
        <v>61</v>
      </c>
      <c r="E1974" t="s">
        <v>133</v>
      </c>
      <c r="F1974" t="s">
        <v>133</v>
      </c>
      <c r="G1974" t="s">
        <v>133</v>
      </c>
      <c r="H1974" t="s">
        <v>133</v>
      </c>
      <c r="I1974" t="s">
        <v>133</v>
      </c>
      <c r="K1974" t="s">
        <v>6015</v>
      </c>
      <c r="O1974" t="s">
        <v>161</v>
      </c>
    </row>
    <row r="1975" spans="1:20" x14ac:dyDescent="0.2">
      <c r="A1975" t="s">
        <v>6016</v>
      </c>
      <c r="B1975" t="s">
        <v>6017</v>
      </c>
      <c r="C1975" t="s">
        <v>6018</v>
      </c>
      <c r="D1975" t="s">
        <v>61</v>
      </c>
      <c r="E1975" t="s">
        <v>133</v>
      </c>
      <c r="F1975" t="s">
        <v>133</v>
      </c>
      <c r="G1975" t="s">
        <v>133</v>
      </c>
      <c r="H1975" t="s">
        <v>133</v>
      </c>
      <c r="I1975" t="s">
        <v>133</v>
      </c>
      <c r="K1975" t="s">
        <v>6019</v>
      </c>
      <c r="O1975" t="s">
        <v>161</v>
      </c>
    </row>
    <row r="1976" spans="1:20" x14ac:dyDescent="0.2">
      <c r="A1976" t="s">
        <v>6020</v>
      </c>
      <c r="B1976" t="s">
        <v>6021</v>
      </c>
      <c r="C1976" t="s">
        <v>6022</v>
      </c>
      <c r="D1976" t="s">
        <v>35</v>
      </c>
      <c r="E1976" t="s">
        <v>505</v>
      </c>
      <c r="F1976" t="s">
        <v>133</v>
      </c>
      <c r="G1976" t="s">
        <v>133</v>
      </c>
      <c r="H1976" t="s">
        <v>133</v>
      </c>
      <c r="I1976" t="s">
        <v>133</v>
      </c>
      <c r="O1976" t="s">
        <v>511</v>
      </c>
      <c r="Q1976" t="s">
        <v>6023</v>
      </c>
      <c r="R1976" t="s">
        <v>1004</v>
      </c>
      <c r="S1976" t="s">
        <v>1005</v>
      </c>
      <c r="T1976" t="s">
        <v>1669</v>
      </c>
    </row>
    <row r="1977" spans="1:20" x14ac:dyDescent="0.2">
      <c r="A1977" t="s">
        <v>6020</v>
      </c>
      <c r="B1977" t="s">
        <v>6021</v>
      </c>
      <c r="C1977" t="s">
        <v>6022</v>
      </c>
      <c r="D1977" t="s">
        <v>14</v>
      </c>
      <c r="E1977" t="s">
        <v>255</v>
      </c>
      <c r="F1977" t="s">
        <v>133</v>
      </c>
      <c r="G1977" t="s">
        <v>133</v>
      </c>
      <c r="H1977" t="s">
        <v>133</v>
      </c>
      <c r="I1977" t="s">
        <v>133</v>
      </c>
      <c r="K1977" t="s">
        <v>6024</v>
      </c>
      <c r="O1977" t="s">
        <v>511</v>
      </c>
      <c r="Q1977" t="s">
        <v>6023</v>
      </c>
    </row>
    <row r="1978" spans="1:20" x14ac:dyDescent="0.2">
      <c r="A1978" t="s">
        <v>6025</v>
      </c>
      <c r="B1978" t="s">
        <v>6026</v>
      </c>
      <c r="C1978" t="s">
        <v>6027</v>
      </c>
      <c r="D1978" t="s">
        <v>61</v>
      </c>
      <c r="E1978" t="s">
        <v>133</v>
      </c>
      <c r="K1978" t="s">
        <v>6028</v>
      </c>
      <c r="L1978" t="s">
        <v>160</v>
      </c>
      <c r="O1978" t="s">
        <v>161</v>
      </c>
    </row>
    <row r="1979" spans="1:20" x14ac:dyDescent="0.2">
      <c r="A1979" t="s">
        <v>6029</v>
      </c>
      <c r="B1979" t="s">
        <v>6030</v>
      </c>
      <c r="C1979" t="s">
        <v>6031</v>
      </c>
      <c r="D1979" t="s">
        <v>61</v>
      </c>
      <c r="E1979" t="s">
        <v>133</v>
      </c>
      <c r="F1979" t="s">
        <v>133</v>
      </c>
      <c r="G1979" t="s">
        <v>1003</v>
      </c>
      <c r="H1979" t="s">
        <v>133</v>
      </c>
      <c r="I1979" t="s">
        <v>133</v>
      </c>
      <c r="K1979" t="s">
        <v>6032</v>
      </c>
      <c r="O1979" t="s">
        <v>161</v>
      </c>
    </row>
    <row r="1980" spans="1:20" x14ac:dyDescent="0.2">
      <c r="A1980" t="s">
        <v>6033</v>
      </c>
      <c r="B1980" t="s">
        <v>6034</v>
      </c>
      <c r="C1980" t="s">
        <v>6032</v>
      </c>
      <c r="D1980" t="s">
        <v>35</v>
      </c>
      <c r="E1980" t="s">
        <v>133</v>
      </c>
      <c r="F1980" t="s">
        <v>133</v>
      </c>
      <c r="G1980" t="s">
        <v>133</v>
      </c>
      <c r="H1980" t="s">
        <v>133</v>
      </c>
      <c r="I1980" t="s">
        <v>133</v>
      </c>
      <c r="O1980" t="s">
        <v>161</v>
      </c>
      <c r="R1980" t="s">
        <v>1004</v>
      </c>
      <c r="S1980" t="s">
        <v>1005</v>
      </c>
      <c r="T1980" t="s">
        <v>1669</v>
      </c>
    </row>
    <row r="1981" spans="1:20" x14ac:dyDescent="0.2">
      <c r="A1981" t="s">
        <v>6035</v>
      </c>
      <c r="B1981" t="s">
        <v>6036</v>
      </c>
      <c r="C1981" t="s">
        <v>6037</v>
      </c>
      <c r="D1981" t="s">
        <v>61</v>
      </c>
      <c r="E1981" t="s">
        <v>133</v>
      </c>
      <c r="K1981" t="s">
        <v>6038</v>
      </c>
      <c r="L1981" t="s">
        <v>160</v>
      </c>
      <c r="O1981" t="s">
        <v>161</v>
      </c>
    </row>
    <row r="1982" spans="1:20" x14ac:dyDescent="0.2">
      <c r="A1982" t="s">
        <v>6039</v>
      </c>
      <c r="B1982" t="s">
        <v>6040</v>
      </c>
      <c r="C1982" t="s">
        <v>6041</v>
      </c>
      <c r="D1982" t="s">
        <v>61</v>
      </c>
      <c r="E1982" t="s">
        <v>133</v>
      </c>
      <c r="K1982" t="s">
        <v>6042</v>
      </c>
      <c r="L1982" t="s">
        <v>135</v>
      </c>
      <c r="O1982" t="s">
        <v>161</v>
      </c>
    </row>
    <row r="1983" spans="1:20" x14ac:dyDescent="0.2">
      <c r="A1983" t="s">
        <v>6043</v>
      </c>
      <c r="B1983" t="s">
        <v>6044</v>
      </c>
      <c r="C1983" t="s">
        <v>6045</v>
      </c>
      <c r="D1983" t="s">
        <v>35</v>
      </c>
      <c r="E1983" t="s">
        <v>133</v>
      </c>
      <c r="O1983" t="s">
        <v>161</v>
      </c>
      <c r="Q1983" t="s">
        <v>6046</v>
      </c>
      <c r="R1983" t="s">
        <v>1004</v>
      </c>
      <c r="S1983" t="s">
        <v>1005</v>
      </c>
      <c r="T1983" t="s">
        <v>1669</v>
      </c>
    </row>
    <row r="1984" spans="1:20" x14ac:dyDescent="0.2">
      <c r="A1984" t="s">
        <v>6047</v>
      </c>
      <c r="B1984" t="s">
        <v>6048</v>
      </c>
      <c r="C1984" t="s">
        <v>6049</v>
      </c>
      <c r="D1984" t="s">
        <v>35</v>
      </c>
      <c r="E1984" t="s">
        <v>133</v>
      </c>
      <c r="F1984" t="s">
        <v>133</v>
      </c>
      <c r="G1984" t="s">
        <v>133</v>
      </c>
      <c r="H1984" t="s">
        <v>133</v>
      </c>
      <c r="I1984" t="s">
        <v>133</v>
      </c>
      <c r="O1984" t="s">
        <v>161</v>
      </c>
      <c r="R1984" t="s">
        <v>1004</v>
      </c>
      <c r="S1984" t="s">
        <v>1005</v>
      </c>
      <c r="T1984" t="s">
        <v>1669</v>
      </c>
    </row>
    <row r="1985" spans="1:20" x14ac:dyDescent="0.2">
      <c r="A1985" t="s">
        <v>6050</v>
      </c>
      <c r="B1985" t="s">
        <v>6051</v>
      </c>
      <c r="C1985" t="s">
        <v>6052</v>
      </c>
      <c r="D1985" t="s">
        <v>35</v>
      </c>
      <c r="E1985" t="s">
        <v>133</v>
      </c>
      <c r="F1985" t="s">
        <v>133</v>
      </c>
      <c r="G1985" t="s">
        <v>133</v>
      </c>
      <c r="H1985" t="s">
        <v>133</v>
      </c>
      <c r="I1985" t="s">
        <v>133</v>
      </c>
      <c r="O1985" t="s">
        <v>161</v>
      </c>
      <c r="R1985" t="s">
        <v>1004</v>
      </c>
      <c r="S1985" t="s">
        <v>1005</v>
      </c>
      <c r="T1985" t="s">
        <v>1669</v>
      </c>
    </row>
    <row r="1986" spans="1:20" x14ac:dyDescent="0.2">
      <c r="A1986" t="s">
        <v>6053</v>
      </c>
      <c r="B1986" t="s">
        <v>6054</v>
      </c>
      <c r="C1986" t="s">
        <v>6055</v>
      </c>
      <c r="D1986" t="s">
        <v>61</v>
      </c>
      <c r="E1986" t="s">
        <v>133</v>
      </c>
      <c r="K1986" t="s">
        <v>6056</v>
      </c>
      <c r="O1986" t="s">
        <v>161</v>
      </c>
    </row>
    <row r="1987" spans="1:20" x14ac:dyDescent="0.2">
      <c r="A1987" t="s">
        <v>6057</v>
      </c>
      <c r="B1987" t="s">
        <v>6058</v>
      </c>
      <c r="C1987" t="s">
        <v>6059</v>
      </c>
      <c r="D1987" t="s">
        <v>35</v>
      </c>
      <c r="E1987" t="s">
        <v>133</v>
      </c>
      <c r="O1987" t="s">
        <v>161</v>
      </c>
      <c r="Q1987" t="s">
        <v>6060</v>
      </c>
      <c r="R1987" t="s">
        <v>1004</v>
      </c>
      <c r="S1987" t="s">
        <v>1005</v>
      </c>
      <c r="T1987" t="s">
        <v>1669</v>
      </c>
    </row>
    <row r="1988" spans="1:20" x14ac:dyDescent="0.2">
      <c r="A1988" t="s">
        <v>6061</v>
      </c>
      <c r="B1988" t="s">
        <v>6062</v>
      </c>
      <c r="C1988" t="s">
        <v>6063</v>
      </c>
      <c r="D1988" t="s">
        <v>61</v>
      </c>
      <c r="E1988" t="s">
        <v>133</v>
      </c>
      <c r="K1988" t="s">
        <v>6064</v>
      </c>
      <c r="O1988" t="s">
        <v>161</v>
      </c>
    </row>
    <row r="1989" spans="1:20" x14ac:dyDescent="0.2">
      <c r="A1989" t="s">
        <v>6065</v>
      </c>
      <c r="B1989" t="s">
        <v>6066</v>
      </c>
      <c r="C1989" t="s">
        <v>6067</v>
      </c>
      <c r="D1989" t="s">
        <v>35</v>
      </c>
      <c r="E1989" t="s">
        <v>133</v>
      </c>
      <c r="O1989" t="s">
        <v>161</v>
      </c>
      <c r="R1989" t="s">
        <v>1004</v>
      </c>
      <c r="S1989" t="s">
        <v>1005</v>
      </c>
      <c r="T1989" t="s">
        <v>1669</v>
      </c>
    </row>
    <row r="1990" spans="1:20" x14ac:dyDescent="0.2">
      <c r="A1990" t="s">
        <v>6068</v>
      </c>
      <c r="B1990" t="s">
        <v>6069</v>
      </c>
      <c r="C1990" t="s">
        <v>6070</v>
      </c>
      <c r="D1990" t="s">
        <v>61</v>
      </c>
      <c r="E1990" t="s">
        <v>133</v>
      </c>
      <c r="K1990" t="s">
        <v>6071</v>
      </c>
      <c r="O1990" t="s">
        <v>161</v>
      </c>
    </row>
    <row r="1991" spans="1:20" x14ac:dyDescent="0.2">
      <c r="A1991" t="s">
        <v>6072</v>
      </c>
      <c r="B1991" t="s">
        <v>6073</v>
      </c>
      <c r="C1991" t="s">
        <v>6074</v>
      </c>
      <c r="D1991" t="s">
        <v>35</v>
      </c>
      <c r="E1991" t="s">
        <v>133</v>
      </c>
      <c r="O1991" t="s">
        <v>161</v>
      </c>
      <c r="R1991" t="s">
        <v>1004</v>
      </c>
      <c r="S1991" t="s">
        <v>1005</v>
      </c>
      <c r="T1991" t="s">
        <v>1669</v>
      </c>
    </row>
    <row r="1992" spans="1:20" x14ac:dyDescent="0.2">
      <c r="A1992" t="s">
        <v>6075</v>
      </c>
      <c r="B1992" t="s">
        <v>6076</v>
      </c>
      <c r="C1992" t="s">
        <v>6077</v>
      </c>
      <c r="D1992" t="s">
        <v>61</v>
      </c>
      <c r="E1992" t="s">
        <v>133</v>
      </c>
      <c r="F1992" t="s">
        <v>133</v>
      </c>
      <c r="G1992" t="s">
        <v>133</v>
      </c>
      <c r="H1992" t="s">
        <v>133</v>
      </c>
      <c r="I1992" t="s">
        <v>133</v>
      </c>
      <c r="K1992" t="s">
        <v>6078</v>
      </c>
      <c r="O1992" t="s">
        <v>161</v>
      </c>
    </row>
    <row r="1993" spans="1:20" x14ac:dyDescent="0.2">
      <c r="A1993" t="s">
        <v>6079</v>
      </c>
      <c r="B1993" t="s">
        <v>6080</v>
      </c>
      <c r="C1993" t="s">
        <v>6081</v>
      </c>
      <c r="D1993" t="s">
        <v>61</v>
      </c>
      <c r="E1993" t="s">
        <v>133</v>
      </c>
      <c r="F1993" t="s">
        <v>133</v>
      </c>
      <c r="G1993" t="s">
        <v>133</v>
      </c>
      <c r="H1993" t="s">
        <v>133</v>
      </c>
      <c r="I1993" t="s">
        <v>133</v>
      </c>
      <c r="K1993" t="s">
        <v>6082</v>
      </c>
      <c r="O1993" t="s">
        <v>161</v>
      </c>
    </row>
    <row r="1994" spans="1:20" x14ac:dyDescent="0.2">
      <c r="A1994" t="s">
        <v>6083</v>
      </c>
      <c r="B1994" t="s">
        <v>6084</v>
      </c>
      <c r="C1994" t="s">
        <v>6085</v>
      </c>
      <c r="D1994" t="s">
        <v>35</v>
      </c>
      <c r="E1994" t="s">
        <v>133</v>
      </c>
      <c r="F1994" t="s">
        <v>133</v>
      </c>
      <c r="G1994" t="s">
        <v>133</v>
      </c>
      <c r="H1994" t="s">
        <v>133</v>
      </c>
      <c r="I1994" t="s">
        <v>133</v>
      </c>
      <c r="O1994" t="s">
        <v>161</v>
      </c>
      <c r="R1994" t="s">
        <v>1689</v>
      </c>
      <c r="S1994" t="s">
        <v>1690</v>
      </c>
      <c r="T1994" t="s">
        <v>1669</v>
      </c>
    </row>
    <row r="1995" spans="1:20" x14ac:dyDescent="0.2">
      <c r="A1995" t="s">
        <v>6086</v>
      </c>
      <c r="B1995" t="s">
        <v>6087</v>
      </c>
      <c r="C1995" t="s">
        <v>6088</v>
      </c>
      <c r="D1995" t="s">
        <v>61</v>
      </c>
      <c r="E1995" t="s">
        <v>133</v>
      </c>
      <c r="F1995" t="s">
        <v>133</v>
      </c>
      <c r="G1995" t="s">
        <v>133</v>
      </c>
      <c r="H1995" t="s">
        <v>133</v>
      </c>
      <c r="I1995" t="s">
        <v>133</v>
      </c>
      <c r="K1995" t="s">
        <v>6089</v>
      </c>
      <c r="O1995" t="s">
        <v>161</v>
      </c>
    </row>
    <row r="1996" spans="1:20" x14ac:dyDescent="0.2">
      <c r="A1996" t="s">
        <v>6090</v>
      </c>
      <c r="B1996" t="s">
        <v>6091</v>
      </c>
      <c r="C1996" t="s">
        <v>6092</v>
      </c>
      <c r="D1996" t="s">
        <v>35</v>
      </c>
      <c r="E1996" t="s">
        <v>133</v>
      </c>
      <c r="F1996" t="s">
        <v>133</v>
      </c>
      <c r="G1996" t="s">
        <v>133</v>
      </c>
      <c r="H1996" t="s">
        <v>133</v>
      </c>
      <c r="I1996" t="s">
        <v>133</v>
      </c>
      <c r="O1996" t="s">
        <v>161</v>
      </c>
      <c r="Q1996" t="s">
        <v>6093</v>
      </c>
      <c r="R1996" t="s">
        <v>1689</v>
      </c>
      <c r="S1996" t="s">
        <v>1690</v>
      </c>
      <c r="T1996" t="s">
        <v>1669</v>
      </c>
    </row>
    <row r="1997" spans="1:20" x14ac:dyDescent="0.2">
      <c r="A1997" t="s">
        <v>6094</v>
      </c>
      <c r="B1997" t="s">
        <v>6095</v>
      </c>
      <c r="C1997" t="s">
        <v>6096</v>
      </c>
      <c r="D1997" t="s">
        <v>35</v>
      </c>
      <c r="E1997" t="s">
        <v>133</v>
      </c>
      <c r="F1997" t="s">
        <v>133</v>
      </c>
      <c r="G1997" t="s">
        <v>133</v>
      </c>
      <c r="H1997" t="s">
        <v>133</v>
      </c>
      <c r="I1997" t="s">
        <v>133</v>
      </c>
      <c r="O1997" t="s">
        <v>161</v>
      </c>
      <c r="Q1997" t="s">
        <v>6097</v>
      </c>
      <c r="R1997" t="s">
        <v>1689</v>
      </c>
      <c r="S1997" t="s">
        <v>1690</v>
      </c>
      <c r="T1997" t="s">
        <v>1669</v>
      </c>
    </row>
    <row r="1998" spans="1:20" x14ac:dyDescent="0.2">
      <c r="A1998" t="s">
        <v>6098</v>
      </c>
      <c r="B1998" t="s">
        <v>6099</v>
      </c>
      <c r="C1998" t="s">
        <v>6100</v>
      </c>
      <c r="D1998" t="s">
        <v>61</v>
      </c>
      <c r="E1998" t="s">
        <v>133</v>
      </c>
      <c r="F1998" t="s">
        <v>133</v>
      </c>
      <c r="G1998" t="s">
        <v>133</v>
      </c>
      <c r="H1998" t="s">
        <v>133</v>
      </c>
      <c r="I1998" t="s">
        <v>133</v>
      </c>
      <c r="K1998" t="s">
        <v>6101</v>
      </c>
      <c r="O1998" t="s">
        <v>161</v>
      </c>
    </row>
    <row r="1999" spans="1:20" x14ac:dyDescent="0.2">
      <c r="A1999" t="s">
        <v>6102</v>
      </c>
      <c r="B1999" t="s">
        <v>6103</v>
      </c>
      <c r="C1999" t="s">
        <v>6104</v>
      </c>
      <c r="D1999" t="s">
        <v>61</v>
      </c>
      <c r="E1999" t="s">
        <v>133</v>
      </c>
      <c r="F1999" t="s">
        <v>133</v>
      </c>
      <c r="G1999" t="s">
        <v>133</v>
      </c>
      <c r="H1999" t="s">
        <v>133</v>
      </c>
      <c r="I1999" t="s">
        <v>133</v>
      </c>
      <c r="K1999" t="s">
        <v>6105</v>
      </c>
      <c r="O1999" t="s">
        <v>161</v>
      </c>
    </row>
    <row r="2000" spans="1:20" x14ac:dyDescent="0.2">
      <c r="A2000" t="s">
        <v>6106</v>
      </c>
      <c r="B2000" t="s">
        <v>6107</v>
      </c>
      <c r="C2000" t="s">
        <v>6108</v>
      </c>
      <c r="D2000" t="s">
        <v>35</v>
      </c>
      <c r="E2000" t="s">
        <v>133</v>
      </c>
      <c r="F2000" t="s">
        <v>133</v>
      </c>
      <c r="G2000" t="s">
        <v>133</v>
      </c>
      <c r="H2000" t="s">
        <v>133</v>
      </c>
      <c r="I2000" t="s">
        <v>133</v>
      </c>
      <c r="O2000" t="s">
        <v>161</v>
      </c>
      <c r="Q2000" t="s">
        <v>6109</v>
      </c>
      <c r="R2000" t="s">
        <v>1689</v>
      </c>
      <c r="S2000" t="s">
        <v>1690</v>
      </c>
      <c r="T2000" t="s">
        <v>1669</v>
      </c>
    </row>
    <row r="2001" spans="1:20" x14ac:dyDescent="0.2">
      <c r="A2001" t="s">
        <v>6110</v>
      </c>
      <c r="B2001" t="s">
        <v>6111</v>
      </c>
      <c r="C2001" t="s">
        <v>6112</v>
      </c>
      <c r="D2001" t="s">
        <v>35</v>
      </c>
      <c r="E2001" t="s">
        <v>133</v>
      </c>
      <c r="F2001" t="s">
        <v>133</v>
      </c>
      <c r="G2001" t="s">
        <v>133</v>
      </c>
      <c r="H2001" t="s">
        <v>133</v>
      </c>
      <c r="I2001" t="s">
        <v>133</v>
      </c>
      <c r="O2001" t="s">
        <v>161</v>
      </c>
      <c r="R2001" t="s">
        <v>1689</v>
      </c>
      <c r="S2001" t="s">
        <v>1690</v>
      </c>
      <c r="T2001" t="s">
        <v>1669</v>
      </c>
    </row>
    <row r="2002" spans="1:20" x14ac:dyDescent="0.2">
      <c r="A2002" t="s">
        <v>6113</v>
      </c>
      <c r="B2002" t="s">
        <v>6114</v>
      </c>
      <c r="C2002" t="s">
        <v>6115</v>
      </c>
      <c r="D2002" t="s">
        <v>35</v>
      </c>
      <c r="E2002" t="s">
        <v>133</v>
      </c>
      <c r="F2002" t="s">
        <v>133</v>
      </c>
      <c r="G2002" t="s">
        <v>133</v>
      </c>
      <c r="H2002" t="s">
        <v>133</v>
      </c>
      <c r="I2002" t="s">
        <v>133</v>
      </c>
      <c r="O2002" t="s">
        <v>161</v>
      </c>
      <c r="R2002" t="s">
        <v>1689</v>
      </c>
      <c r="S2002" t="s">
        <v>1690</v>
      </c>
      <c r="T2002" t="s">
        <v>1669</v>
      </c>
    </row>
    <row r="2003" spans="1:20" x14ac:dyDescent="0.2">
      <c r="A2003" t="s">
        <v>6116</v>
      </c>
      <c r="B2003" t="s">
        <v>6117</v>
      </c>
      <c r="C2003" t="s">
        <v>6118</v>
      </c>
      <c r="D2003" t="s">
        <v>35</v>
      </c>
      <c r="E2003" t="s">
        <v>133</v>
      </c>
      <c r="F2003" t="s">
        <v>133</v>
      </c>
      <c r="G2003" t="s">
        <v>133</v>
      </c>
      <c r="H2003" t="s">
        <v>133</v>
      </c>
      <c r="I2003" t="s">
        <v>133</v>
      </c>
      <c r="O2003" t="s">
        <v>161</v>
      </c>
      <c r="R2003" t="s">
        <v>1680</v>
      </c>
      <c r="S2003" t="s">
        <v>1658</v>
      </c>
      <c r="T2003" t="s">
        <v>1669</v>
      </c>
    </row>
    <row r="2004" spans="1:20" x14ac:dyDescent="0.2">
      <c r="A2004" t="s">
        <v>6119</v>
      </c>
      <c r="B2004" t="s">
        <v>6120</v>
      </c>
      <c r="C2004" t="s">
        <v>6121</v>
      </c>
      <c r="D2004" t="s">
        <v>61</v>
      </c>
      <c r="E2004" t="s">
        <v>133</v>
      </c>
      <c r="F2004" t="s">
        <v>133</v>
      </c>
      <c r="G2004" t="s">
        <v>133</v>
      </c>
      <c r="H2004" t="s">
        <v>133</v>
      </c>
      <c r="I2004" t="s">
        <v>133</v>
      </c>
      <c r="K2004" t="s">
        <v>6122</v>
      </c>
      <c r="O2004" t="s">
        <v>161</v>
      </c>
    </row>
    <row r="2005" spans="1:20" x14ac:dyDescent="0.2">
      <c r="A2005" t="s">
        <v>6123</v>
      </c>
      <c r="B2005" t="s">
        <v>6124</v>
      </c>
      <c r="C2005" t="s">
        <v>6125</v>
      </c>
      <c r="D2005" t="s">
        <v>35</v>
      </c>
      <c r="E2005" t="s">
        <v>505</v>
      </c>
      <c r="F2005" t="s">
        <v>133</v>
      </c>
      <c r="G2005" t="s">
        <v>133</v>
      </c>
      <c r="H2005" t="s">
        <v>133</v>
      </c>
      <c r="I2005" t="s">
        <v>133</v>
      </c>
      <c r="O2005" t="s">
        <v>511</v>
      </c>
      <c r="Q2005" t="s">
        <v>6126</v>
      </c>
      <c r="R2005" t="s">
        <v>1680</v>
      </c>
      <c r="S2005" t="s">
        <v>1658</v>
      </c>
      <c r="T2005" t="s">
        <v>1669</v>
      </c>
    </row>
    <row r="2006" spans="1:20" x14ac:dyDescent="0.2">
      <c r="A2006" t="s">
        <v>6123</v>
      </c>
      <c r="B2006" t="s">
        <v>6124</v>
      </c>
      <c r="C2006" t="s">
        <v>6125</v>
      </c>
      <c r="D2006" t="s">
        <v>61</v>
      </c>
      <c r="E2006" t="s">
        <v>255</v>
      </c>
      <c r="F2006" t="s">
        <v>133</v>
      </c>
      <c r="G2006" t="s">
        <v>133</v>
      </c>
      <c r="H2006" t="s">
        <v>133</v>
      </c>
      <c r="I2006" t="s">
        <v>133</v>
      </c>
      <c r="K2006" t="s">
        <v>6127</v>
      </c>
      <c r="O2006" t="s">
        <v>511</v>
      </c>
      <c r="Q2006" t="s">
        <v>6126</v>
      </c>
    </row>
    <row r="2007" spans="1:20" x14ac:dyDescent="0.2">
      <c r="A2007" t="s">
        <v>6128</v>
      </c>
      <c r="B2007" t="s">
        <v>6129</v>
      </c>
      <c r="C2007" t="s">
        <v>6130</v>
      </c>
      <c r="D2007" t="s">
        <v>61</v>
      </c>
      <c r="E2007" t="s">
        <v>133</v>
      </c>
      <c r="F2007" t="s">
        <v>133</v>
      </c>
      <c r="G2007" t="s">
        <v>133</v>
      </c>
      <c r="H2007" t="s">
        <v>133</v>
      </c>
      <c r="I2007" t="s">
        <v>133</v>
      </c>
      <c r="K2007" t="s">
        <v>6131</v>
      </c>
      <c r="L2007" t="s">
        <v>160</v>
      </c>
      <c r="O2007" t="s">
        <v>161</v>
      </c>
    </row>
    <row r="2008" spans="1:20" x14ac:dyDescent="0.2">
      <c r="A2008" t="s">
        <v>6132</v>
      </c>
      <c r="B2008" t="s">
        <v>6133</v>
      </c>
      <c r="C2008" t="s">
        <v>6134</v>
      </c>
      <c r="D2008" t="s">
        <v>35</v>
      </c>
      <c r="E2008" t="s">
        <v>133</v>
      </c>
      <c r="F2008" t="s">
        <v>133</v>
      </c>
      <c r="G2008" t="s">
        <v>133</v>
      </c>
      <c r="H2008" t="s">
        <v>133</v>
      </c>
      <c r="I2008" t="s">
        <v>133</v>
      </c>
      <c r="O2008" t="s">
        <v>161</v>
      </c>
      <c r="R2008" t="s">
        <v>1680</v>
      </c>
      <c r="S2008" t="s">
        <v>1658</v>
      </c>
      <c r="T2008" t="s">
        <v>1669</v>
      </c>
    </row>
    <row r="2009" spans="1:20" x14ac:dyDescent="0.2">
      <c r="A2009" t="s">
        <v>6135</v>
      </c>
      <c r="B2009" t="s">
        <v>6136</v>
      </c>
      <c r="C2009" t="s">
        <v>6137</v>
      </c>
      <c r="D2009" t="s">
        <v>61</v>
      </c>
      <c r="E2009" t="s">
        <v>133</v>
      </c>
      <c r="H2009" t="s">
        <v>133</v>
      </c>
      <c r="I2009" t="s">
        <v>133</v>
      </c>
      <c r="K2009" t="s">
        <v>6138</v>
      </c>
      <c r="O2009" t="s">
        <v>161</v>
      </c>
    </row>
    <row r="2010" spans="1:20" x14ac:dyDescent="0.2">
      <c r="A2010" t="s">
        <v>6139</v>
      </c>
      <c r="B2010" t="s">
        <v>6140</v>
      </c>
      <c r="C2010" t="s">
        <v>6141</v>
      </c>
      <c r="D2010" t="s">
        <v>35</v>
      </c>
      <c r="E2010" t="s">
        <v>133</v>
      </c>
      <c r="H2010" t="s">
        <v>133</v>
      </c>
      <c r="I2010" t="s">
        <v>133</v>
      </c>
      <c r="O2010" t="s">
        <v>161</v>
      </c>
      <c r="R2010" t="s">
        <v>1680</v>
      </c>
      <c r="S2010" t="s">
        <v>1658</v>
      </c>
      <c r="T2010" t="s">
        <v>1669</v>
      </c>
    </row>
    <row r="2011" spans="1:20" x14ac:dyDescent="0.2">
      <c r="A2011" t="s">
        <v>6142</v>
      </c>
      <c r="B2011" t="s">
        <v>6143</v>
      </c>
      <c r="C2011" t="s">
        <v>6144</v>
      </c>
      <c r="D2011" t="s">
        <v>35</v>
      </c>
      <c r="E2011" t="s">
        <v>133</v>
      </c>
      <c r="H2011" t="s">
        <v>133</v>
      </c>
      <c r="I2011" t="s">
        <v>133</v>
      </c>
      <c r="O2011" t="s">
        <v>161</v>
      </c>
      <c r="R2011" t="s">
        <v>1680</v>
      </c>
      <c r="S2011" t="s">
        <v>1658</v>
      </c>
      <c r="T2011" t="s">
        <v>1669</v>
      </c>
    </row>
    <row r="2012" spans="1:20" x14ac:dyDescent="0.2">
      <c r="A2012" t="s">
        <v>6145</v>
      </c>
      <c r="B2012" t="s">
        <v>6146</v>
      </c>
      <c r="C2012" t="s">
        <v>6147</v>
      </c>
      <c r="D2012" t="s">
        <v>35</v>
      </c>
      <c r="E2012" t="s">
        <v>133</v>
      </c>
      <c r="H2012" t="s">
        <v>133</v>
      </c>
      <c r="I2012" t="s">
        <v>133</v>
      </c>
      <c r="O2012" t="s">
        <v>161</v>
      </c>
      <c r="R2012" t="s">
        <v>1680</v>
      </c>
      <c r="S2012" t="s">
        <v>1658</v>
      </c>
      <c r="T2012" t="s">
        <v>1669</v>
      </c>
    </row>
    <row r="2013" spans="1:20" x14ac:dyDescent="0.2">
      <c r="A2013" t="s">
        <v>6148</v>
      </c>
      <c r="B2013" t="s">
        <v>6149</v>
      </c>
      <c r="C2013" t="s">
        <v>6150</v>
      </c>
      <c r="D2013" t="s">
        <v>35</v>
      </c>
      <c r="E2013" t="s">
        <v>133</v>
      </c>
      <c r="H2013" t="s">
        <v>133</v>
      </c>
      <c r="I2013" t="s">
        <v>133</v>
      </c>
      <c r="O2013" t="s">
        <v>161</v>
      </c>
      <c r="R2013" t="s">
        <v>1680</v>
      </c>
      <c r="S2013" t="s">
        <v>1658</v>
      </c>
      <c r="T2013" t="s">
        <v>1669</v>
      </c>
    </row>
    <row r="2014" spans="1:20" x14ac:dyDescent="0.2">
      <c r="A2014" t="s">
        <v>6151</v>
      </c>
      <c r="B2014" t="s">
        <v>6152</v>
      </c>
      <c r="C2014" t="s">
        <v>6153</v>
      </c>
      <c r="D2014" t="s">
        <v>35</v>
      </c>
      <c r="E2014" t="s">
        <v>133</v>
      </c>
      <c r="H2014" t="s">
        <v>133</v>
      </c>
      <c r="I2014" t="s">
        <v>133</v>
      </c>
      <c r="O2014" t="s">
        <v>161</v>
      </c>
      <c r="R2014" t="s">
        <v>1680</v>
      </c>
      <c r="S2014" t="s">
        <v>1658</v>
      </c>
      <c r="T2014" t="s">
        <v>1669</v>
      </c>
    </row>
    <row r="2015" spans="1:20" x14ac:dyDescent="0.2">
      <c r="A2015" t="s">
        <v>6154</v>
      </c>
      <c r="B2015" t="s">
        <v>6155</v>
      </c>
      <c r="C2015" t="s">
        <v>6156</v>
      </c>
      <c r="D2015" t="s">
        <v>35</v>
      </c>
      <c r="E2015" t="s">
        <v>133</v>
      </c>
      <c r="H2015" t="s">
        <v>133</v>
      </c>
      <c r="I2015" t="s">
        <v>133</v>
      </c>
      <c r="O2015" t="s">
        <v>161</v>
      </c>
      <c r="R2015" t="s">
        <v>1680</v>
      </c>
      <c r="S2015" t="s">
        <v>1658</v>
      </c>
      <c r="T2015" t="s">
        <v>1669</v>
      </c>
    </row>
    <row r="2016" spans="1:20" x14ac:dyDescent="0.2">
      <c r="A2016" t="s">
        <v>6157</v>
      </c>
      <c r="B2016" t="s">
        <v>6158</v>
      </c>
      <c r="C2016" t="s">
        <v>6159</v>
      </c>
      <c r="D2016" t="s">
        <v>35</v>
      </c>
      <c r="E2016" t="s">
        <v>133</v>
      </c>
      <c r="H2016" t="s">
        <v>133</v>
      </c>
      <c r="I2016" t="s">
        <v>133</v>
      </c>
      <c r="O2016" t="s">
        <v>161</v>
      </c>
      <c r="R2016" t="s">
        <v>1680</v>
      </c>
      <c r="S2016" t="s">
        <v>1658</v>
      </c>
      <c r="T2016" t="s">
        <v>1669</v>
      </c>
    </row>
    <row r="2017" spans="1:20" x14ac:dyDescent="0.2">
      <c r="A2017" t="s">
        <v>6160</v>
      </c>
      <c r="B2017" t="s">
        <v>6161</v>
      </c>
      <c r="C2017" t="s">
        <v>6162</v>
      </c>
      <c r="D2017" t="s">
        <v>61</v>
      </c>
      <c r="E2017" t="s">
        <v>133</v>
      </c>
      <c r="F2017" t="s">
        <v>133</v>
      </c>
      <c r="G2017" t="s">
        <v>133</v>
      </c>
      <c r="H2017" t="s">
        <v>133</v>
      </c>
      <c r="I2017" t="s">
        <v>133</v>
      </c>
      <c r="K2017" t="s">
        <v>6163</v>
      </c>
      <c r="O2017" t="s">
        <v>161</v>
      </c>
    </row>
    <row r="2018" spans="1:20" x14ac:dyDescent="0.2">
      <c r="A2018" t="s">
        <v>6164</v>
      </c>
      <c r="B2018" t="s">
        <v>6165</v>
      </c>
      <c r="C2018" t="s">
        <v>6166</v>
      </c>
      <c r="D2018" t="s">
        <v>35</v>
      </c>
      <c r="E2018" t="s">
        <v>505</v>
      </c>
      <c r="F2018" t="s">
        <v>133</v>
      </c>
      <c r="G2018" t="s">
        <v>133</v>
      </c>
      <c r="H2018" t="s">
        <v>1681</v>
      </c>
      <c r="I2018" t="s">
        <v>133</v>
      </c>
      <c r="O2018" t="s">
        <v>161</v>
      </c>
      <c r="Q2018" t="s">
        <v>6167</v>
      </c>
      <c r="R2018" t="s">
        <v>1682</v>
      </c>
      <c r="S2018" t="s">
        <v>1683</v>
      </c>
      <c r="T2018" t="s">
        <v>1669</v>
      </c>
    </row>
    <row r="2019" spans="1:20" x14ac:dyDescent="0.2">
      <c r="A2019" t="s">
        <v>6164</v>
      </c>
      <c r="B2019" t="s">
        <v>6165</v>
      </c>
      <c r="C2019" t="s">
        <v>6166</v>
      </c>
      <c r="D2019" t="s">
        <v>35</v>
      </c>
      <c r="E2019" t="s">
        <v>505</v>
      </c>
      <c r="F2019" t="s">
        <v>133</v>
      </c>
      <c r="G2019" t="s">
        <v>133</v>
      </c>
      <c r="H2019" t="s">
        <v>1684</v>
      </c>
      <c r="I2019" t="s">
        <v>133</v>
      </c>
      <c r="O2019" t="s">
        <v>161</v>
      </c>
      <c r="Q2019" t="s">
        <v>6167</v>
      </c>
      <c r="R2019" t="s">
        <v>1685</v>
      </c>
      <c r="S2019" t="s">
        <v>1686</v>
      </c>
      <c r="T2019" t="s">
        <v>1669</v>
      </c>
    </row>
    <row r="2020" spans="1:20" x14ac:dyDescent="0.2">
      <c r="A2020" t="s">
        <v>6164</v>
      </c>
      <c r="B2020" t="s">
        <v>6165</v>
      </c>
      <c r="C2020" t="s">
        <v>6166</v>
      </c>
      <c r="D2020" t="s">
        <v>14</v>
      </c>
      <c r="E2020" t="s">
        <v>255</v>
      </c>
      <c r="F2020" t="s">
        <v>133</v>
      </c>
      <c r="G2020" t="s">
        <v>133</v>
      </c>
      <c r="H2020" t="s">
        <v>133</v>
      </c>
      <c r="I2020" t="s">
        <v>133</v>
      </c>
      <c r="K2020" t="s">
        <v>6168</v>
      </c>
      <c r="O2020" t="s">
        <v>161</v>
      </c>
      <c r="Q2020" t="s">
        <v>6167</v>
      </c>
    </row>
    <row r="2021" spans="1:20" x14ac:dyDescent="0.2">
      <c r="A2021" t="s">
        <v>6169</v>
      </c>
      <c r="B2021" t="s">
        <v>6170</v>
      </c>
      <c r="C2021" t="s">
        <v>6171</v>
      </c>
      <c r="D2021" t="s">
        <v>61</v>
      </c>
      <c r="E2021" t="s">
        <v>133</v>
      </c>
      <c r="H2021" t="s">
        <v>133</v>
      </c>
      <c r="K2021" t="s">
        <v>6172</v>
      </c>
      <c r="L2021" t="s">
        <v>160</v>
      </c>
      <c r="O2021" t="s">
        <v>161</v>
      </c>
    </row>
    <row r="2022" spans="1:20" x14ac:dyDescent="0.2">
      <c r="A2022" t="s">
        <v>6173</v>
      </c>
      <c r="B2022" t="s">
        <v>6174</v>
      </c>
      <c r="C2022" t="s">
        <v>6175</v>
      </c>
      <c r="D2022" t="s">
        <v>61</v>
      </c>
      <c r="E2022" t="s">
        <v>133</v>
      </c>
      <c r="F2022" t="s">
        <v>133</v>
      </c>
      <c r="G2022" t="s">
        <v>133</v>
      </c>
      <c r="H2022" t="s">
        <v>4219</v>
      </c>
      <c r="I2022" t="s">
        <v>133</v>
      </c>
      <c r="K2022" t="s">
        <v>6176</v>
      </c>
      <c r="O2022" t="s">
        <v>161</v>
      </c>
    </row>
    <row r="2023" spans="1:20" x14ac:dyDescent="0.2">
      <c r="A2023" t="s">
        <v>6177</v>
      </c>
      <c r="B2023" t="s">
        <v>6161</v>
      </c>
      <c r="C2023" t="s">
        <v>6176</v>
      </c>
      <c r="D2023" t="s">
        <v>35</v>
      </c>
      <c r="E2023" t="s">
        <v>133</v>
      </c>
      <c r="F2023" t="s">
        <v>133</v>
      </c>
      <c r="G2023" t="s">
        <v>133</v>
      </c>
      <c r="H2023" t="s">
        <v>133</v>
      </c>
      <c r="I2023" t="s">
        <v>133</v>
      </c>
      <c r="O2023" t="s">
        <v>161</v>
      </c>
      <c r="R2023" t="s">
        <v>1680</v>
      </c>
      <c r="S2023" t="s">
        <v>1658</v>
      </c>
      <c r="T2023" t="s">
        <v>1669</v>
      </c>
    </row>
    <row r="2024" spans="1:20" x14ac:dyDescent="0.2">
      <c r="A2024" t="s">
        <v>6178</v>
      </c>
      <c r="B2024" t="s">
        <v>6179</v>
      </c>
      <c r="C2024" t="s">
        <v>6180</v>
      </c>
      <c r="D2024" t="s">
        <v>61</v>
      </c>
      <c r="E2024" t="s">
        <v>133</v>
      </c>
      <c r="H2024" t="s">
        <v>133</v>
      </c>
      <c r="K2024" t="s">
        <v>6181</v>
      </c>
      <c r="L2024" t="s">
        <v>160</v>
      </c>
      <c r="O2024" t="s">
        <v>161</v>
      </c>
    </row>
    <row r="2025" spans="1:20" x14ac:dyDescent="0.2">
      <c r="A2025" t="s">
        <v>6182</v>
      </c>
      <c r="B2025" t="s">
        <v>6183</v>
      </c>
      <c r="C2025" t="s">
        <v>6184</v>
      </c>
      <c r="D2025" t="s">
        <v>35</v>
      </c>
      <c r="E2025" t="s">
        <v>133</v>
      </c>
      <c r="F2025" t="s">
        <v>133</v>
      </c>
      <c r="G2025" t="s">
        <v>133</v>
      </c>
      <c r="H2025" t="s">
        <v>133</v>
      </c>
      <c r="I2025" t="s">
        <v>133</v>
      </c>
      <c r="O2025" t="s">
        <v>161</v>
      </c>
      <c r="R2025" t="s">
        <v>1680</v>
      </c>
      <c r="S2025" t="s">
        <v>1658</v>
      </c>
      <c r="T2025" t="s">
        <v>1669</v>
      </c>
    </row>
    <row r="2026" spans="1:20" x14ac:dyDescent="0.2">
      <c r="A2026" t="s">
        <v>6185</v>
      </c>
      <c r="B2026" t="s">
        <v>6186</v>
      </c>
      <c r="C2026" t="s">
        <v>6187</v>
      </c>
      <c r="D2026" t="s">
        <v>35</v>
      </c>
      <c r="E2026" t="s">
        <v>133</v>
      </c>
      <c r="F2026" t="s">
        <v>133</v>
      </c>
      <c r="G2026" t="s">
        <v>133</v>
      </c>
      <c r="H2026" t="s">
        <v>133</v>
      </c>
      <c r="I2026" t="s">
        <v>133</v>
      </c>
      <c r="O2026" t="s">
        <v>161</v>
      </c>
      <c r="R2026" t="s">
        <v>1680</v>
      </c>
      <c r="S2026" t="s">
        <v>1658</v>
      </c>
      <c r="T2026" t="s">
        <v>1669</v>
      </c>
    </row>
    <row r="2027" spans="1:20" x14ac:dyDescent="0.2">
      <c r="A2027" t="s">
        <v>6188</v>
      </c>
      <c r="B2027" t="s">
        <v>6189</v>
      </c>
      <c r="C2027" t="s">
        <v>6190</v>
      </c>
      <c r="D2027" t="s">
        <v>61</v>
      </c>
      <c r="E2027" t="s">
        <v>133</v>
      </c>
      <c r="F2027" t="s">
        <v>133</v>
      </c>
      <c r="G2027" t="s">
        <v>133</v>
      </c>
      <c r="H2027" t="s">
        <v>133</v>
      </c>
      <c r="I2027" t="s">
        <v>133</v>
      </c>
      <c r="K2027" t="s">
        <v>6191</v>
      </c>
      <c r="O2027" t="s">
        <v>161</v>
      </c>
    </row>
    <row r="2028" spans="1:20" x14ac:dyDescent="0.2">
      <c r="A2028" t="s">
        <v>6192</v>
      </c>
      <c r="B2028" t="s">
        <v>6193</v>
      </c>
      <c r="C2028" t="s">
        <v>6194</v>
      </c>
      <c r="D2028" t="s">
        <v>35</v>
      </c>
      <c r="E2028" t="s">
        <v>505</v>
      </c>
      <c r="F2028" t="s">
        <v>133</v>
      </c>
      <c r="G2028" t="s">
        <v>133</v>
      </c>
      <c r="H2028" t="s">
        <v>133</v>
      </c>
      <c r="I2028" t="s">
        <v>133</v>
      </c>
      <c r="O2028" t="s">
        <v>511</v>
      </c>
      <c r="Q2028" t="s">
        <v>6195</v>
      </c>
      <c r="R2028" t="s">
        <v>1680</v>
      </c>
      <c r="S2028" t="s">
        <v>1658</v>
      </c>
      <c r="T2028" t="s">
        <v>1669</v>
      </c>
    </row>
    <row r="2029" spans="1:20" x14ac:dyDescent="0.2">
      <c r="A2029" t="s">
        <v>6192</v>
      </c>
      <c r="B2029" t="s">
        <v>6193</v>
      </c>
      <c r="C2029" t="s">
        <v>6194</v>
      </c>
      <c r="D2029" t="s">
        <v>14</v>
      </c>
      <c r="E2029" t="s">
        <v>255</v>
      </c>
      <c r="F2029" t="s">
        <v>133</v>
      </c>
      <c r="G2029" t="s">
        <v>133</v>
      </c>
      <c r="H2029" t="s">
        <v>133</v>
      </c>
      <c r="I2029" t="s">
        <v>133</v>
      </c>
      <c r="K2029" t="s">
        <v>6196</v>
      </c>
      <c r="O2029" t="s">
        <v>511</v>
      </c>
      <c r="Q2029" t="s">
        <v>6195</v>
      </c>
    </row>
    <row r="2030" spans="1:20" x14ac:dyDescent="0.2">
      <c r="A2030" t="s">
        <v>6197</v>
      </c>
      <c r="B2030" t="s">
        <v>6198</v>
      </c>
      <c r="C2030" t="s">
        <v>6199</v>
      </c>
      <c r="D2030" t="s">
        <v>61</v>
      </c>
      <c r="E2030" t="s">
        <v>133</v>
      </c>
      <c r="K2030" t="s">
        <v>6200</v>
      </c>
      <c r="L2030" t="s">
        <v>160</v>
      </c>
      <c r="O2030" t="s">
        <v>161</v>
      </c>
    </row>
    <row r="2031" spans="1:20" x14ac:dyDescent="0.2">
      <c r="A2031" t="s">
        <v>6201</v>
      </c>
      <c r="B2031" t="s">
        <v>6189</v>
      </c>
      <c r="C2031" t="s">
        <v>6202</v>
      </c>
      <c r="D2031" t="s">
        <v>35</v>
      </c>
      <c r="E2031" t="s">
        <v>133</v>
      </c>
      <c r="F2031" t="s">
        <v>133</v>
      </c>
      <c r="G2031" t="s">
        <v>133</v>
      </c>
      <c r="H2031" t="s">
        <v>133</v>
      </c>
      <c r="I2031" t="s">
        <v>133</v>
      </c>
      <c r="O2031" t="s">
        <v>161</v>
      </c>
      <c r="R2031" t="s">
        <v>1680</v>
      </c>
      <c r="S2031" t="s">
        <v>1658</v>
      </c>
      <c r="T2031" t="s">
        <v>1669</v>
      </c>
    </row>
    <row r="2032" spans="1:20" x14ac:dyDescent="0.2">
      <c r="A2032" t="s">
        <v>6203</v>
      </c>
      <c r="B2032" t="s">
        <v>6204</v>
      </c>
      <c r="C2032" t="s">
        <v>6205</v>
      </c>
      <c r="D2032" t="s">
        <v>61</v>
      </c>
      <c r="E2032" t="s">
        <v>133</v>
      </c>
      <c r="K2032" t="s">
        <v>6206</v>
      </c>
      <c r="L2032" t="s">
        <v>160</v>
      </c>
      <c r="O2032" t="s">
        <v>161</v>
      </c>
    </row>
    <row r="2033" spans="1:20" x14ac:dyDescent="0.2">
      <c r="A2033" t="s">
        <v>6207</v>
      </c>
      <c r="B2033" t="s">
        <v>6208</v>
      </c>
      <c r="C2033" t="s">
        <v>6209</v>
      </c>
      <c r="D2033" t="s">
        <v>61</v>
      </c>
      <c r="E2033" t="s">
        <v>133</v>
      </c>
      <c r="K2033" t="s">
        <v>6210</v>
      </c>
      <c r="O2033" t="s">
        <v>161</v>
      </c>
    </row>
    <row r="2034" spans="1:20" x14ac:dyDescent="0.2">
      <c r="A2034" t="s">
        <v>6211</v>
      </c>
      <c r="B2034" t="s">
        <v>6212</v>
      </c>
      <c r="C2034" t="s">
        <v>6213</v>
      </c>
      <c r="D2034" t="s">
        <v>35</v>
      </c>
      <c r="E2034" t="s">
        <v>133</v>
      </c>
      <c r="O2034" t="s">
        <v>161</v>
      </c>
      <c r="Q2034" t="s">
        <v>6214</v>
      </c>
      <c r="R2034" t="s">
        <v>1680</v>
      </c>
      <c r="S2034" t="s">
        <v>1658</v>
      </c>
      <c r="T2034" t="s">
        <v>1669</v>
      </c>
    </row>
    <row r="2035" spans="1:20" x14ac:dyDescent="0.2">
      <c r="A2035" t="s">
        <v>6215</v>
      </c>
      <c r="B2035" t="s">
        <v>6216</v>
      </c>
      <c r="C2035" t="s">
        <v>6217</v>
      </c>
      <c r="D2035" t="s">
        <v>35</v>
      </c>
      <c r="E2035" t="s">
        <v>133</v>
      </c>
      <c r="O2035" t="s">
        <v>150</v>
      </c>
      <c r="Q2035" t="s">
        <v>6218</v>
      </c>
      <c r="R2035" t="s">
        <v>1680</v>
      </c>
      <c r="S2035" t="s">
        <v>1658</v>
      </c>
      <c r="T2035" t="s">
        <v>1669</v>
      </c>
    </row>
    <row r="2036" spans="1:20" x14ac:dyDescent="0.2">
      <c r="A2036" t="s">
        <v>6219</v>
      </c>
      <c r="B2036" t="s">
        <v>6220</v>
      </c>
      <c r="C2036" t="s">
        <v>6221</v>
      </c>
      <c r="D2036" t="s">
        <v>35</v>
      </c>
      <c r="E2036" t="s">
        <v>133</v>
      </c>
      <c r="O2036" t="s">
        <v>161</v>
      </c>
      <c r="R2036" t="s">
        <v>1680</v>
      </c>
      <c r="S2036" t="s">
        <v>1658</v>
      </c>
      <c r="T2036" t="s">
        <v>1669</v>
      </c>
    </row>
    <row r="2037" spans="1:20" x14ac:dyDescent="0.2">
      <c r="A2037" t="s">
        <v>6222</v>
      </c>
      <c r="B2037" t="s">
        <v>6223</v>
      </c>
      <c r="C2037" t="s">
        <v>6224</v>
      </c>
      <c r="D2037" t="s">
        <v>35</v>
      </c>
      <c r="E2037" t="s">
        <v>133</v>
      </c>
      <c r="O2037" t="s">
        <v>161</v>
      </c>
      <c r="R2037" t="s">
        <v>1680</v>
      </c>
      <c r="S2037" t="s">
        <v>1658</v>
      </c>
      <c r="T2037" t="s">
        <v>1669</v>
      </c>
    </row>
    <row r="2038" spans="1:20" x14ac:dyDescent="0.2">
      <c r="A2038" t="s">
        <v>6225</v>
      </c>
      <c r="B2038" t="s">
        <v>6226</v>
      </c>
      <c r="C2038" t="s">
        <v>6227</v>
      </c>
      <c r="D2038" t="s">
        <v>35</v>
      </c>
      <c r="E2038" t="s">
        <v>133</v>
      </c>
      <c r="F2038" t="s">
        <v>133</v>
      </c>
      <c r="G2038" t="s">
        <v>133</v>
      </c>
      <c r="H2038" t="s">
        <v>133</v>
      </c>
      <c r="I2038" t="s">
        <v>133</v>
      </c>
      <c r="O2038" t="s">
        <v>161</v>
      </c>
      <c r="R2038" t="s">
        <v>1680</v>
      </c>
      <c r="S2038" t="s">
        <v>1658</v>
      </c>
      <c r="T2038" t="s">
        <v>1669</v>
      </c>
    </row>
    <row r="2039" spans="1:20" x14ac:dyDescent="0.2">
      <c r="A2039" t="s">
        <v>6228</v>
      </c>
      <c r="B2039" t="s">
        <v>6229</v>
      </c>
      <c r="C2039" t="s">
        <v>6230</v>
      </c>
      <c r="D2039" t="s">
        <v>35</v>
      </c>
      <c r="E2039" t="s">
        <v>133</v>
      </c>
      <c r="F2039" t="s">
        <v>133</v>
      </c>
      <c r="G2039" t="s">
        <v>133</v>
      </c>
      <c r="H2039" t="s">
        <v>133</v>
      </c>
      <c r="I2039" t="s">
        <v>133</v>
      </c>
      <c r="O2039" t="s">
        <v>161</v>
      </c>
      <c r="R2039" t="s">
        <v>1680</v>
      </c>
      <c r="S2039" t="s">
        <v>1658</v>
      </c>
      <c r="T2039" t="s">
        <v>1669</v>
      </c>
    </row>
    <row r="2040" spans="1:20" x14ac:dyDescent="0.2">
      <c r="A2040" t="s">
        <v>6231</v>
      </c>
      <c r="B2040" t="s">
        <v>6232</v>
      </c>
      <c r="C2040" t="s">
        <v>6233</v>
      </c>
      <c r="D2040" t="s">
        <v>35</v>
      </c>
      <c r="E2040" t="s">
        <v>133</v>
      </c>
      <c r="F2040" t="s">
        <v>133</v>
      </c>
      <c r="G2040" t="s">
        <v>133</v>
      </c>
      <c r="H2040" t="s">
        <v>133</v>
      </c>
      <c r="I2040" t="s">
        <v>133</v>
      </c>
      <c r="O2040" t="s">
        <v>161</v>
      </c>
      <c r="R2040" t="s">
        <v>1680</v>
      </c>
      <c r="S2040" t="s">
        <v>1658</v>
      </c>
      <c r="T2040" t="s">
        <v>1669</v>
      </c>
    </row>
    <row r="2041" spans="1:20" x14ac:dyDescent="0.2">
      <c r="A2041" t="s">
        <v>6234</v>
      </c>
      <c r="B2041" t="s">
        <v>6235</v>
      </c>
      <c r="C2041" t="s">
        <v>6236</v>
      </c>
      <c r="D2041" t="s">
        <v>61</v>
      </c>
      <c r="E2041" t="s">
        <v>133</v>
      </c>
      <c r="F2041" t="s">
        <v>133</v>
      </c>
      <c r="G2041" t="s">
        <v>133</v>
      </c>
      <c r="H2041" t="s">
        <v>133</v>
      </c>
      <c r="I2041" t="s">
        <v>133</v>
      </c>
      <c r="K2041" t="s">
        <v>6237</v>
      </c>
      <c r="M2041" t="s">
        <v>282</v>
      </c>
      <c r="O2041" t="s">
        <v>161</v>
      </c>
    </row>
    <row r="2042" spans="1:20" x14ac:dyDescent="0.2">
      <c r="A2042" t="s">
        <v>6238</v>
      </c>
      <c r="B2042" t="s">
        <v>6239</v>
      </c>
      <c r="C2042" t="s">
        <v>6240</v>
      </c>
      <c r="D2042" t="s">
        <v>35</v>
      </c>
      <c r="E2042" t="s">
        <v>133</v>
      </c>
      <c r="F2042" t="s">
        <v>133</v>
      </c>
      <c r="G2042" t="s">
        <v>133</v>
      </c>
      <c r="H2042" t="s">
        <v>133</v>
      </c>
      <c r="I2042" t="s">
        <v>133</v>
      </c>
      <c r="O2042" t="s">
        <v>161</v>
      </c>
      <c r="R2042" t="s">
        <v>1680</v>
      </c>
      <c r="S2042" t="s">
        <v>1658</v>
      </c>
      <c r="T2042" t="s">
        <v>1669</v>
      </c>
    </row>
    <row r="2043" spans="1:20" x14ac:dyDescent="0.2">
      <c r="A2043" t="s">
        <v>6241</v>
      </c>
      <c r="B2043" t="s">
        <v>6242</v>
      </c>
      <c r="C2043" t="s">
        <v>6243</v>
      </c>
      <c r="D2043" t="s">
        <v>35</v>
      </c>
      <c r="E2043" t="s">
        <v>133</v>
      </c>
      <c r="F2043" t="s">
        <v>133</v>
      </c>
      <c r="G2043" t="s">
        <v>133</v>
      </c>
      <c r="H2043" t="s">
        <v>133</v>
      </c>
      <c r="I2043" t="s">
        <v>133</v>
      </c>
      <c r="O2043" t="s">
        <v>161</v>
      </c>
      <c r="R2043" t="s">
        <v>1677</v>
      </c>
      <c r="S2043" t="s">
        <v>1678</v>
      </c>
      <c r="T2043" t="s">
        <v>1669</v>
      </c>
    </row>
    <row r="2044" spans="1:20" x14ac:dyDescent="0.2">
      <c r="A2044" t="s">
        <v>6244</v>
      </c>
      <c r="B2044" t="s">
        <v>6245</v>
      </c>
      <c r="C2044" t="s">
        <v>6246</v>
      </c>
      <c r="D2044" t="s">
        <v>35</v>
      </c>
      <c r="E2044" t="s">
        <v>133</v>
      </c>
      <c r="F2044" t="s">
        <v>133</v>
      </c>
      <c r="G2044" t="s">
        <v>133</v>
      </c>
      <c r="H2044" t="s">
        <v>133</v>
      </c>
      <c r="I2044" t="s">
        <v>133</v>
      </c>
      <c r="O2044" t="s">
        <v>161</v>
      </c>
      <c r="R2044" t="s">
        <v>1680</v>
      </c>
      <c r="S2044" t="s">
        <v>1658</v>
      </c>
      <c r="T2044" t="s">
        <v>1669</v>
      </c>
    </row>
    <row r="2045" spans="1:20" x14ac:dyDescent="0.2">
      <c r="A2045" t="s">
        <v>6247</v>
      </c>
      <c r="B2045" t="s">
        <v>6248</v>
      </c>
      <c r="C2045" t="s">
        <v>6249</v>
      </c>
      <c r="D2045" t="s">
        <v>35</v>
      </c>
      <c r="E2045" t="s">
        <v>133</v>
      </c>
      <c r="F2045" t="s">
        <v>133</v>
      </c>
      <c r="G2045" t="s">
        <v>133</v>
      </c>
      <c r="H2045" t="s">
        <v>133</v>
      </c>
      <c r="I2045" t="s">
        <v>133</v>
      </c>
      <c r="O2045" t="s">
        <v>161</v>
      </c>
      <c r="R2045" t="s">
        <v>1680</v>
      </c>
      <c r="S2045" t="s">
        <v>1658</v>
      </c>
      <c r="T2045" t="s">
        <v>1669</v>
      </c>
    </row>
    <row r="2046" spans="1:20" x14ac:dyDescent="0.2">
      <c r="A2046" t="s">
        <v>6250</v>
      </c>
      <c r="B2046" t="s">
        <v>6251</v>
      </c>
      <c r="C2046" t="s">
        <v>6252</v>
      </c>
      <c r="D2046" t="s">
        <v>35</v>
      </c>
      <c r="E2046" t="s">
        <v>133</v>
      </c>
      <c r="F2046" t="s">
        <v>133</v>
      </c>
      <c r="G2046" t="s">
        <v>133</v>
      </c>
      <c r="H2046" t="s">
        <v>1681</v>
      </c>
      <c r="I2046" t="s">
        <v>133</v>
      </c>
      <c r="O2046" t="s">
        <v>161</v>
      </c>
      <c r="R2046" t="s">
        <v>1682</v>
      </c>
      <c r="S2046" t="s">
        <v>1683</v>
      </c>
      <c r="T2046" t="s">
        <v>1669</v>
      </c>
    </row>
    <row r="2047" spans="1:20" x14ac:dyDescent="0.2">
      <c r="A2047" t="s">
        <v>6250</v>
      </c>
      <c r="B2047" t="s">
        <v>6251</v>
      </c>
      <c r="C2047" t="s">
        <v>6252</v>
      </c>
      <c r="D2047" t="s">
        <v>35</v>
      </c>
      <c r="E2047" t="s">
        <v>133</v>
      </c>
      <c r="F2047" t="s">
        <v>133</v>
      </c>
      <c r="G2047" t="s">
        <v>133</v>
      </c>
      <c r="H2047" t="s">
        <v>1684</v>
      </c>
      <c r="I2047" t="s">
        <v>133</v>
      </c>
      <c r="O2047" t="s">
        <v>161</v>
      </c>
      <c r="R2047" t="s">
        <v>1685</v>
      </c>
      <c r="S2047" t="s">
        <v>1686</v>
      </c>
      <c r="T2047" t="s">
        <v>1669</v>
      </c>
    </row>
    <row r="2048" spans="1:20" x14ac:dyDescent="0.2">
      <c r="A2048" t="s">
        <v>6253</v>
      </c>
      <c r="B2048" t="s">
        <v>6254</v>
      </c>
      <c r="C2048" t="s">
        <v>6255</v>
      </c>
      <c r="D2048" t="s">
        <v>35</v>
      </c>
      <c r="E2048" t="s">
        <v>133</v>
      </c>
      <c r="F2048" t="s">
        <v>133</v>
      </c>
      <c r="G2048" t="s">
        <v>133</v>
      </c>
      <c r="H2048" t="s">
        <v>133</v>
      </c>
      <c r="I2048" t="s">
        <v>133</v>
      </c>
      <c r="O2048" t="s">
        <v>161</v>
      </c>
      <c r="R2048" t="s">
        <v>1680</v>
      </c>
      <c r="S2048" t="s">
        <v>1658</v>
      </c>
      <c r="T2048" t="s">
        <v>1669</v>
      </c>
    </row>
    <row r="2049" spans="1:20" x14ac:dyDescent="0.2">
      <c r="A2049" t="s">
        <v>6256</v>
      </c>
      <c r="B2049" t="s">
        <v>6257</v>
      </c>
      <c r="C2049" t="s">
        <v>6258</v>
      </c>
      <c r="D2049" t="s">
        <v>61</v>
      </c>
      <c r="E2049" t="s">
        <v>133</v>
      </c>
      <c r="F2049" t="s">
        <v>133</v>
      </c>
      <c r="G2049" t="s">
        <v>133</v>
      </c>
      <c r="H2049" t="s">
        <v>133</v>
      </c>
      <c r="I2049" t="s">
        <v>133</v>
      </c>
      <c r="K2049" t="s">
        <v>6259</v>
      </c>
      <c r="O2049" t="s">
        <v>161</v>
      </c>
    </row>
    <row r="2050" spans="1:20" x14ac:dyDescent="0.2">
      <c r="A2050" t="s">
        <v>6260</v>
      </c>
      <c r="B2050" t="s">
        <v>6261</v>
      </c>
      <c r="C2050" t="s">
        <v>6262</v>
      </c>
      <c r="D2050" t="s">
        <v>61</v>
      </c>
      <c r="E2050" t="s">
        <v>133</v>
      </c>
      <c r="F2050" t="s">
        <v>133</v>
      </c>
      <c r="G2050" t="s">
        <v>133</v>
      </c>
      <c r="H2050" t="s">
        <v>133</v>
      </c>
      <c r="I2050" t="s">
        <v>133</v>
      </c>
      <c r="K2050" t="s">
        <v>6263</v>
      </c>
      <c r="O2050" t="s">
        <v>161</v>
      </c>
    </row>
    <row r="2051" spans="1:20" x14ac:dyDescent="0.2">
      <c r="A2051" t="s">
        <v>6264</v>
      </c>
      <c r="B2051" t="s">
        <v>6265</v>
      </c>
      <c r="C2051" t="s">
        <v>6266</v>
      </c>
      <c r="D2051" t="s">
        <v>35</v>
      </c>
      <c r="E2051" t="s">
        <v>505</v>
      </c>
      <c r="F2051" t="s">
        <v>133</v>
      </c>
      <c r="G2051" t="s">
        <v>133</v>
      </c>
      <c r="H2051" t="s">
        <v>133</v>
      </c>
      <c r="I2051" t="s">
        <v>133</v>
      </c>
      <c r="O2051" t="s">
        <v>511</v>
      </c>
      <c r="Q2051" t="s">
        <v>6267</v>
      </c>
      <c r="R2051" t="s">
        <v>1677</v>
      </c>
      <c r="S2051" t="s">
        <v>1678</v>
      </c>
      <c r="T2051" t="s">
        <v>1669</v>
      </c>
    </row>
    <row r="2052" spans="1:20" x14ac:dyDescent="0.2">
      <c r="A2052" t="s">
        <v>6264</v>
      </c>
      <c r="B2052" t="s">
        <v>6265</v>
      </c>
      <c r="C2052" t="s">
        <v>6266</v>
      </c>
      <c r="D2052" t="s">
        <v>14</v>
      </c>
      <c r="E2052" t="s">
        <v>255</v>
      </c>
      <c r="F2052" t="s">
        <v>133</v>
      </c>
      <c r="G2052" t="s">
        <v>133</v>
      </c>
      <c r="H2052" t="s">
        <v>133</v>
      </c>
      <c r="I2052" t="s">
        <v>133</v>
      </c>
      <c r="K2052" t="s">
        <v>6268</v>
      </c>
      <c r="O2052" t="s">
        <v>511</v>
      </c>
      <c r="Q2052" t="s">
        <v>6267</v>
      </c>
    </row>
    <row r="2053" spans="1:20" x14ac:dyDescent="0.2">
      <c r="A2053" t="s">
        <v>6269</v>
      </c>
      <c r="B2053" t="s">
        <v>6270</v>
      </c>
      <c r="C2053" t="s">
        <v>6271</v>
      </c>
      <c r="D2053" t="s">
        <v>61</v>
      </c>
      <c r="E2053" t="s">
        <v>133</v>
      </c>
      <c r="K2053" t="s">
        <v>6272</v>
      </c>
      <c r="L2053" t="s">
        <v>160</v>
      </c>
      <c r="O2053" t="s">
        <v>161</v>
      </c>
    </row>
    <row r="2054" spans="1:20" x14ac:dyDescent="0.2">
      <c r="A2054" t="s">
        <v>6273</v>
      </c>
      <c r="B2054" t="s">
        <v>6274</v>
      </c>
      <c r="C2054" t="s">
        <v>6275</v>
      </c>
      <c r="D2054" t="s">
        <v>35</v>
      </c>
      <c r="E2054" t="s">
        <v>133</v>
      </c>
      <c r="F2054" t="s">
        <v>133</v>
      </c>
      <c r="G2054" t="s">
        <v>133</v>
      </c>
      <c r="H2054" t="s">
        <v>133</v>
      </c>
      <c r="I2054" t="s">
        <v>133</v>
      </c>
      <c r="O2054" t="s">
        <v>161</v>
      </c>
      <c r="R2054" t="s">
        <v>1677</v>
      </c>
      <c r="S2054" t="s">
        <v>1678</v>
      </c>
      <c r="T2054" t="s">
        <v>1669</v>
      </c>
    </row>
    <row r="2055" spans="1:20" x14ac:dyDescent="0.2">
      <c r="A2055" t="s">
        <v>6276</v>
      </c>
      <c r="B2055" t="s">
        <v>6277</v>
      </c>
      <c r="C2055" t="s">
        <v>6278</v>
      </c>
      <c r="D2055" t="s">
        <v>61</v>
      </c>
      <c r="E2055" t="s">
        <v>133</v>
      </c>
      <c r="K2055" t="s">
        <v>6279</v>
      </c>
      <c r="O2055" t="s">
        <v>161</v>
      </c>
    </row>
    <row r="2056" spans="1:20" x14ac:dyDescent="0.2">
      <c r="A2056" t="s">
        <v>6280</v>
      </c>
      <c r="B2056" t="s">
        <v>6281</v>
      </c>
      <c r="C2056" t="s">
        <v>6282</v>
      </c>
      <c r="D2056" t="s">
        <v>61</v>
      </c>
      <c r="E2056" t="s">
        <v>133</v>
      </c>
      <c r="K2056" t="s">
        <v>6283</v>
      </c>
      <c r="O2056" t="s">
        <v>150</v>
      </c>
    </row>
    <row r="2057" spans="1:20" x14ac:dyDescent="0.2">
      <c r="A2057" t="s">
        <v>6284</v>
      </c>
      <c r="B2057" t="s">
        <v>6285</v>
      </c>
      <c r="C2057" t="s">
        <v>6286</v>
      </c>
      <c r="D2057" t="s">
        <v>35</v>
      </c>
      <c r="E2057" t="s">
        <v>133</v>
      </c>
      <c r="O2057" t="s">
        <v>150</v>
      </c>
      <c r="Q2057" t="s">
        <v>6287</v>
      </c>
      <c r="R2057" t="s">
        <v>1677</v>
      </c>
      <c r="S2057" t="s">
        <v>1678</v>
      </c>
      <c r="T2057" t="s">
        <v>1669</v>
      </c>
    </row>
    <row r="2058" spans="1:20" x14ac:dyDescent="0.2">
      <c r="A2058" t="s">
        <v>6288</v>
      </c>
      <c r="B2058" t="s">
        <v>6289</v>
      </c>
      <c r="C2058" t="s">
        <v>6290</v>
      </c>
      <c r="D2058" t="s">
        <v>61</v>
      </c>
      <c r="E2058" t="s">
        <v>133</v>
      </c>
      <c r="K2058" t="s">
        <v>6291</v>
      </c>
      <c r="L2058" t="s">
        <v>135</v>
      </c>
      <c r="O2058" t="s">
        <v>150</v>
      </c>
    </row>
    <row r="2059" spans="1:20" x14ac:dyDescent="0.2">
      <c r="A2059" t="s">
        <v>6292</v>
      </c>
      <c r="B2059" t="s">
        <v>6293</v>
      </c>
      <c r="C2059" t="s">
        <v>6294</v>
      </c>
      <c r="D2059" t="s">
        <v>35</v>
      </c>
      <c r="E2059" t="s">
        <v>133</v>
      </c>
      <c r="F2059" t="s">
        <v>133</v>
      </c>
      <c r="O2059" t="s">
        <v>511</v>
      </c>
      <c r="Q2059" t="s">
        <v>6295</v>
      </c>
      <c r="R2059" t="s">
        <v>1677</v>
      </c>
      <c r="S2059" t="s">
        <v>1678</v>
      </c>
      <c r="T2059" t="s">
        <v>1669</v>
      </c>
    </row>
    <row r="2060" spans="1:20" x14ac:dyDescent="0.2">
      <c r="A2060" t="s">
        <v>6296</v>
      </c>
      <c r="B2060" t="s">
        <v>6297</v>
      </c>
      <c r="C2060" t="s">
        <v>6298</v>
      </c>
      <c r="D2060" t="s">
        <v>61</v>
      </c>
      <c r="E2060" t="s">
        <v>133</v>
      </c>
      <c r="F2060" t="s">
        <v>133</v>
      </c>
      <c r="K2060" t="s">
        <v>490</v>
      </c>
      <c r="L2060" t="s">
        <v>135</v>
      </c>
      <c r="O2060" t="s">
        <v>150</v>
      </c>
    </row>
    <row r="2061" spans="1:20" x14ac:dyDescent="0.2">
      <c r="A2061" t="s">
        <v>6299</v>
      </c>
      <c r="B2061" t="s">
        <v>6300</v>
      </c>
      <c r="C2061" t="s">
        <v>6301</v>
      </c>
      <c r="D2061" t="s">
        <v>35</v>
      </c>
      <c r="E2061" t="s">
        <v>133</v>
      </c>
      <c r="O2061" t="s">
        <v>161</v>
      </c>
      <c r="R2061" t="s">
        <v>1677</v>
      </c>
      <c r="S2061" t="s">
        <v>1678</v>
      </c>
      <c r="T2061" t="s">
        <v>1669</v>
      </c>
    </row>
    <row r="2062" spans="1:20" x14ac:dyDescent="0.2">
      <c r="A2062" t="s">
        <v>6302</v>
      </c>
      <c r="B2062" t="s">
        <v>6303</v>
      </c>
      <c r="C2062" t="s">
        <v>6304</v>
      </c>
      <c r="D2062" t="s">
        <v>35</v>
      </c>
      <c r="E2062" t="s">
        <v>133</v>
      </c>
      <c r="F2062" t="s">
        <v>133</v>
      </c>
      <c r="G2062" t="s">
        <v>133</v>
      </c>
      <c r="H2062" t="s">
        <v>133</v>
      </c>
      <c r="I2062" t="s">
        <v>133</v>
      </c>
      <c r="O2062" t="s">
        <v>161</v>
      </c>
      <c r="R2062" t="s">
        <v>1680</v>
      </c>
      <c r="S2062" t="s">
        <v>1658</v>
      </c>
      <c r="T2062" t="s">
        <v>1669</v>
      </c>
    </row>
    <row r="2063" spans="1:20" x14ac:dyDescent="0.2">
      <c r="A2063" t="s">
        <v>6305</v>
      </c>
      <c r="B2063" t="s">
        <v>6306</v>
      </c>
      <c r="C2063" t="s">
        <v>6307</v>
      </c>
      <c r="D2063" t="s">
        <v>35</v>
      </c>
      <c r="E2063" t="s">
        <v>133</v>
      </c>
      <c r="F2063" t="s">
        <v>133</v>
      </c>
      <c r="G2063" t="s">
        <v>133</v>
      </c>
      <c r="H2063" t="s">
        <v>133</v>
      </c>
      <c r="I2063" t="s">
        <v>133</v>
      </c>
      <c r="O2063" t="s">
        <v>161</v>
      </c>
      <c r="R2063" t="s">
        <v>1680</v>
      </c>
      <c r="S2063" t="s">
        <v>1658</v>
      </c>
      <c r="T2063" t="s">
        <v>1669</v>
      </c>
    </row>
    <row r="2064" spans="1:20" x14ac:dyDescent="0.2">
      <c r="A2064" t="s">
        <v>1670</v>
      </c>
      <c r="B2064" t="s">
        <v>1671</v>
      </c>
      <c r="C2064" t="s">
        <v>1672</v>
      </c>
      <c r="D2064" t="s">
        <v>35</v>
      </c>
      <c r="E2064" t="s">
        <v>133</v>
      </c>
      <c r="F2064" t="s">
        <v>133</v>
      </c>
      <c r="G2064" t="s">
        <v>133</v>
      </c>
      <c r="H2064" t="s">
        <v>1673</v>
      </c>
      <c r="I2064" t="s">
        <v>133</v>
      </c>
      <c r="M2064" t="s">
        <v>137</v>
      </c>
      <c r="O2064" t="s">
        <v>161</v>
      </c>
      <c r="R2064" t="s">
        <v>1674</v>
      </c>
      <c r="S2064" t="s">
        <v>1675</v>
      </c>
      <c r="T2064" t="s">
        <v>487</v>
      </c>
    </row>
    <row r="2065" spans="1:20" x14ac:dyDescent="0.2">
      <c r="A2065" t="s">
        <v>1670</v>
      </c>
      <c r="B2065" t="s">
        <v>1671</v>
      </c>
      <c r="C2065" t="s">
        <v>1672</v>
      </c>
      <c r="D2065" t="s">
        <v>35</v>
      </c>
      <c r="E2065" t="s">
        <v>133</v>
      </c>
      <c r="F2065" t="s">
        <v>133</v>
      </c>
      <c r="G2065" t="s">
        <v>133</v>
      </c>
      <c r="H2065" t="s">
        <v>1676</v>
      </c>
      <c r="I2065" t="s">
        <v>133</v>
      </c>
      <c r="M2065" t="s">
        <v>137</v>
      </c>
      <c r="O2065" t="s">
        <v>161</v>
      </c>
      <c r="R2065" t="s">
        <v>1677</v>
      </c>
      <c r="S2065" t="s">
        <v>1678</v>
      </c>
      <c r="T2065" t="s">
        <v>487</v>
      </c>
    </row>
    <row r="2066" spans="1:20" x14ac:dyDescent="0.2">
      <c r="A2066" t="s">
        <v>1670</v>
      </c>
      <c r="B2066" t="s">
        <v>1671</v>
      </c>
      <c r="C2066" t="s">
        <v>1672</v>
      </c>
      <c r="D2066" t="s">
        <v>35</v>
      </c>
      <c r="E2066" t="s">
        <v>133</v>
      </c>
      <c r="F2066" t="s">
        <v>133</v>
      </c>
      <c r="G2066" t="s">
        <v>133</v>
      </c>
      <c r="H2066" t="s">
        <v>1679</v>
      </c>
      <c r="I2066" t="s">
        <v>133</v>
      </c>
      <c r="M2066" t="s">
        <v>137</v>
      </c>
      <c r="O2066" t="s">
        <v>161</v>
      </c>
      <c r="R2066" t="s">
        <v>1680</v>
      </c>
      <c r="S2066" t="s">
        <v>1658</v>
      </c>
      <c r="T2066" t="s">
        <v>487</v>
      </c>
    </row>
    <row r="2067" spans="1:20" x14ac:dyDescent="0.2">
      <c r="A2067" t="s">
        <v>1670</v>
      </c>
      <c r="B2067" t="s">
        <v>1671</v>
      </c>
      <c r="C2067" t="s">
        <v>1672</v>
      </c>
      <c r="D2067" t="s">
        <v>35</v>
      </c>
      <c r="E2067" t="s">
        <v>133</v>
      </c>
      <c r="F2067" t="s">
        <v>133</v>
      </c>
      <c r="G2067" t="s">
        <v>133</v>
      </c>
      <c r="H2067" t="s">
        <v>1681</v>
      </c>
      <c r="I2067" t="s">
        <v>133</v>
      </c>
      <c r="M2067" t="s">
        <v>137</v>
      </c>
      <c r="O2067" t="s">
        <v>161</v>
      </c>
      <c r="R2067" t="s">
        <v>1682</v>
      </c>
      <c r="S2067" t="s">
        <v>1683</v>
      </c>
      <c r="T2067" t="s">
        <v>487</v>
      </c>
    </row>
    <row r="2068" spans="1:20" x14ac:dyDescent="0.2">
      <c r="A2068" t="s">
        <v>1670</v>
      </c>
      <c r="B2068" t="s">
        <v>1671</v>
      </c>
      <c r="C2068" t="s">
        <v>1672</v>
      </c>
      <c r="D2068" t="s">
        <v>35</v>
      </c>
      <c r="E2068" t="s">
        <v>133</v>
      </c>
      <c r="F2068" t="s">
        <v>133</v>
      </c>
      <c r="G2068" t="s">
        <v>133</v>
      </c>
      <c r="H2068" t="s">
        <v>1684</v>
      </c>
      <c r="I2068" t="s">
        <v>133</v>
      </c>
      <c r="M2068" t="s">
        <v>137</v>
      </c>
      <c r="O2068" t="s">
        <v>161</v>
      </c>
      <c r="R2068" t="s">
        <v>1685</v>
      </c>
      <c r="S2068" t="s">
        <v>1686</v>
      </c>
      <c r="T2068" t="s">
        <v>487</v>
      </c>
    </row>
    <row r="2069" spans="1:20" x14ac:dyDescent="0.2">
      <c r="A2069" t="s">
        <v>1670</v>
      </c>
      <c r="B2069" t="s">
        <v>1671</v>
      </c>
      <c r="C2069" t="s">
        <v>1672</v>
      </c>
      <c r="D2069" t="s">
        <v>35</v>
      </c>
      <c r="E2069" t="s">
        <v>133</v>
      </c>
      <c r="F2069" t="s">
        <v>133</v>
      </c>
      <c r="G2069" t="s">
        <v>133</v>
      </c>
      <c r="H2069" t="s">
        <v>1687</v>
      </c>
      <c r="I2069" t="s">
        <v>133</v>
      </c>
      <c r="M2069" t="s">
        <v>137</v>
      </c>
      <c r="O2069" t="s">
        <v>161</v>
      </c>
      <c r="R2069" t="s">
        <v>1219</v>
      </c>
      <c r="S2069" t="s">
        <v>1220</v>
      </c>
      <c r="T2069" t="s">
        <v>487</v>
      </c>
    </row>
    <row r="2070" spans="1:20" x14ac:dyDescent="0.2">
      <c r="A2070" t="s">
        <v>1670</v>
      </c>
      <c r="B2070" t="s">
        <v>1671</v>
      </c>
      <c r="C2070" t="s">
        <v>1672</v>
      </c>
      <c r="D2070" t="s">
        <v>35</v>
      </c>
      <c r="E2070" t="s">
        <v>133</v>
      </c>
      <c r="F2070" t="s">
        <v>133</v>
      </c>
      <c r="G2070" t="s">
        <v>1003</v>
      </c>
      <c r="H2070" t="s">
        <v>133</v>
      </c>
      <c r="I2070" t="s">
        <v>133</v>
      </c>
      <c r="M2070" t="s">
        <v>137</v>
      </c>
      <c r="O2070" t="s">
        <v>161</v>
      </c>
      <c r="R2070" t="s">
        <v>1004</v>
      </c>
      <c r="S2070" t="s">
        <v>1005</v>
      </c>
      <c r="T2070" t="s">
        <v>487</v>
      </c>
    </row>
    <row r="2071" spans="1:20" x14ac:dyDescent="0.2">
      <c r="A2071" t="s">
        <v>1670</v>
      </c>
      <c r="B2071" t="s">
        <v>1671</v>
      </c>
      <c r="C2071" t="s">
        <v>1672</v>
      </c>
      <c r="D2071" t="s">
        <v>35</v>
      </c>
      <c r="E2071" t="s">
        <v>133</v>
      </c>
      <c r="F2071" t="s">
        <v>133</v>
      </c>
      <c r="G2071" t="s">
        <v>1003</v>
      </c>
      <c r="H2071" t="s">
        <v>1673</v>
      </c>
      <c r="I2071" t="s">
        <v>133</v>
      </c>
      <c r="M2071" t="s">
        <v>137</v>
      </c>
      <c r="O2071" t="s">
        <v>161</v>
      </c>
      <c r="R2071" t="s">
        <v>1004</v>
      </c>
      <c r="S2071" t="s">
        <v>1005</v>
      </c>
      <c r="T2071" t="s">
        <v>487</v>
      </c>
    </row>
    <row r="2072" spans="1:20" x14ac:dyDescent="0.2">
      <c r="A2072" t="s">
        <v>1670</v>
      </c>
      <c r="B2072" t="s">
        <v>1671</v>
      </c>
      <c r="C2072" t="s">
        <v>1672</v>
      </c>
      <c r="D2072" t="s">
        <v>35</v>
      </c>
      <c r="E2072" t="s">
        <v>133</v>
      </c>
      <c r="F2072" t="s">
        <v>133</v>
      </c>
      <c r="G2072" t="s">
        <v>1003</v>
      </c>
      <c r="H2072" t="s">
        <v>1676</v>
      </c>
      <c r="I2072" t="s">
        <v>133</v>
      </c>
      <c r="M2072" t="s">
        <v>137</v>
      </c>
      <c r="O2072" t="s">
        <v>161</v>
      </c>
      <c r="R2072" t="s">
        <v>1004</v>
      </c>
      <c r="S2072" t="s">
        <v>1005</v>
      </c>
      <c r="T2072" t="s">
        <v>487</v>
      </c>
    </row>
    <row r="2073" spans="1:20" x14ac:dyDescent="0.2">
      <c r="A2073" t="s">
        <v>1670</v>
      </c>
      <c r="B2073" t="s">
        <v>1671</v>
      </c>
      <c r="C2073" t="s">
        <v>1672</v>
      </c>
      <c r="D2073" t="s">
        <v>35</v>
      </c>
      <c r="E2073" t="s">
        <v>133</v>
      </c>
      <c r="F2073" t="s">
        <v>133</v>
      </c>
      <c r="G2073" t="s">
        <v>1003</v>
      </c>
      <c r="H2073" t="s">
        <v>1679</v>
      </c>
      <c r="I2073" t="s">
        <v>133</v>
      </c>
      <c r="M2073" t="s">
        <v>137</v>
      </c>
      <c r="O2073" t="s">
        <v>161</v>
      </c>
      <c r="R2073" t="s">
        <v>1004</v>
      </c>
      <c r="S2073" t="s">
        <v>1005</v>
      </c>
      <c r="T2073" t="s">
        <v>487</v>
      </c>
    </row>
    <row r="2074" spans="1:20" x14ac:dyDescent="0.2">
      <c r="A2074" t="s">
        <v>1670</v>
      </c>
      <c r="B2074" t="s">
        <v>1671</v>
      </c>
      <c r="C2074" t="s">
        <v>1672</v>
      </c>
      <c r="D2074" t="s">
        <v>35</v>
      </c>
      <c r="E2074" t="s">
        <v>133</v>
      </c>
      <c r="F2074" t="s">
        <v>133</v>
      </c>
      <c r="G2074" t="s">
        <v>1003</v>
      </c>
      <c r="H2074" t="s">
        <v>1681</v>
      </c>
      <c r="I2074" t="s">
        <v>133</v>
      </c>
      <c r="M2074" t="s">
        <v>137</v>
      </c>
      <c r="O2074" t="s">
        <v>161</v>
      </c>
      <c r="R2074" t="s">
        <v>1004</v>
      </c>
      <c r="S2074" t="s">
        <v>1005</v>
      </c>
      <c r="T2074" t="s">
        <v>487</v>
      </c>
    </row>
    <row r="2075" spans="1:20" x14ac:dyDescent="0.2">
      <c r="A2075" t="s">
        <v>1670</v>
      </c>
      <c r="B2075" t="s">
        <v>1671</v>
      </c>
      <c r="C2075" t="s">
        <v>1672</v>
      </c>
      <c r="D2075" t="s">
        <v>35</v>
      </c>
      <c r="E2075" t="s">
        <v>133</v>
      </c>
      <c r="F2075" t="s">
        <v>133</v>
      </c>
      <c r="G2075" t="s">
        <v>1003</v>
      </c>
      <c r="H2075" t="s">
        <v>1684</v>
      </c>
      <c r="I2075" t="s">
        <v>133</v>
      </c>
      <c r="M2075" t="s">
        <v>137</v>
      </c>
      <c r="O2075" t="s">
        <v>161</v>
      </c>
      <c r="R2075" t="s">
        <v>1004</v>
      </c>
      <c r="S2075" t="s">
        <v>1005</v>
      </c>
      <c r="T2075" t="s">
        <v>487</v>
      </c>
    </row>
    <row r="2076" spans="1:20" x14ac:dyDescent="0.2">
      <c r="A2076" t="s">
        <v>1670</v>
      </c>
      <c r="B2076" t="s">
        <v>1671</v>
      </c>
      <c r="C2076" t="s">
        <v>1672</v>
      </c>
      <c r="D2076" t="s">
        <v>35</v>
      </c>
      <c r="E2076" t="s">
        <v>133</v>
      </c>
      <c r="F2076" t="s">
        <v>133</v>
      </c>
      <c r="G2076" t="s">
        <v>1003</v>
      </c>
      <c r="H2076" t="s">
        <v>1687</v>
      </c>
      <c r="I2076" t="s">
        <v>133</v>
      </c>
      <c r="M2076" t="s">
        <v>137</v>
      </c>
      <c r="O2076" t="s">
        <v>161</v>
      </c>
      <c r="R2076" t="s">
        <v>1004</v>
      </c>
      <c r="S2076" t="s">
        <v>1005</v>
      </c>
      <c r="T2076" t="s">
        <v>487</v>
      </c>
    </row>
    <row r="2077" spans="1:20" x14ac:dyDescent="0.2">
      <c r="A2077" t="s">
        <v>1670</v>
      </c>
      <c r="B2077" t="s">
        <v>1671</v>
      </c>
      <c r="C2077" t="s">
        <v>1672</v>
      </c>
      <c r="D2077" t="s">
        <v>35</v>
      </c>
      <c r="E2077" t="s">
        <v>133</v>
      </c>
      <c r="F2077" t="s">
        <v>133</v>
      </c>
      <c r="G2077" t="s">
        <v>1688</v>
      </c>
      <c r="H2077" t="s">
        <v>133</v>
      </c>
      <c r="I2077" t="s">
        <v>133</v>
      </c>
      <c r="M2077" t="s">
        <v>137</v>
      </c>
      <c r="O2077" t="s">
        <v>161</v>
      </c>
      <c r="R2077" t="s">
        <v>1689</v>
      </c>
      <c r="S2077" t="s">
        <v>1690</v>
      </c>
      <c r="T2077" t="s">
        <v>487</v>
      </c>
    </row>
    <row r="2078" spans="1:20" x14ac:dyDescent="0.2">
      <c r="A2078" t="s">
        <v>1670</v>
      </c>
      <c r="B2078" t="s">
        <v>1671</v>
      </c>
      <c r="C2078" t="s">
        <v>1672</v>
      </c>
      <c r="D2078" t="s">
        <v>35</v>
      </c>
      <c r="E2078" t="s">
        <v>133</v>
      </c>
      <c r="F2078" t="s">
        <v>133</v>
      </c>
      <c r="G2078" t="s">
        <v>1688</v>
      </c>
      <c r="H2078" t="s">
        <v>1673</v>
      </c>
      <c r="I2078" t="s">
        <v>133</v>
      </c>
      <c r="M2078" t="s">
        <v>137</v>
      </c>
      <c r="O2078" t="s">
        <v>161</v>
      </c>
      <c r="R2078" t="s">
        <v>1689</v>
      </c>
      <c r="S2078" t="s">
        <v>1690</v>
      </c>
      <c r="T2078" t="s">
        <v>487</v>
      </c>
    </row>
    <row r="2079" spans="1:20" x14ac:dyDescent="0.2">
      <c r="A2079" t="s">
        <v>1670</v>
      </c>
      <c r="B2079" t="s">
        <v>1671</v>
      </c>
      <c r="C2079" t="s">
        <v>1672</v>
      </c>
      <c r="D2079" t="s">
        <v>35</v>
      </c>
      <c r="E2079" t="s">
        <v>133</v>
      </c>
      <c r="F2079" t="s">
        <v>133</v>
      </c>
      <c r="G2079" t="s">
        <v>1688</v>
      </c>
      <c r="H2079" t="s">
        <v>1676</v>
      </c>
      <c r="I2079" t="s">
        <v>133</v>
      </c>
      <c r="M2079" t="s">
        <v>137</v>
      </c>
      <c r="O2079" t="s">
        <v>161</v>
      </c>
      <c r="R2079" t="s">
        <v>1689</v>
      </c>
      <c r="S2079" t="s">
        <v>1690</v>
      </c>
      <c r="T2079" t="s">
        <v>487</v>
      </c>
    </row>
    <row r="2080" spans="1:20" x14ac:dyDescent="0.2">
      <c r="A2080" t="s">
        <v>1670</v>
      </c>
      <c r="B2080" t="s">
        <v>1671</v>
      </c>
      <c r="C2080" t="s">
        <v>1672</v>
      </c>
      <c r="D2080" t="s">
        <v>35</v>
      </c>
      <c r="E2080" t="s">
        <v>133</v>
      </c>
      <c r="F2080" t="s">
        <v>133</v>
      </c>
      <c r="G2080" t="s">
        <v>1688</v>
      </c>
      <c r="H2080" t="s">
        <v>1679</v>
      </c>
      <c r="I2080" t="s">
        <v>133</v>
      </c>
      <c r="M2080" t="s">
        <v>137</v>
      </c>
      <c r="O2080" t="s">
        <v>161</v>
      </c>
      <c r="R2080" t="s">
        <v>1689</v>
      </c>
      <c r="S2080" t="s">
        <v>1690</v>
      </c>
      <c r="T2080" t="s">
        <v>487</v>
      </c>
    </row>
    <row r="2081" spans="1:20" x14ac:dyDescent="0.2">
      <c r="A2081" t="s">
        <v>1670</v>
      </c>
      <c r="B2081" t="s">
        <v>1671</v>
      </c>
      <c r="C2081" t="s">
        <v>1672</v>
      </c>
      <c r="D2081" t="s">
        <v>35</v>
      </c>
      <c r="E2081" t="s">
        <v>133</v>
      </c>
      <c r="F2081" t="s">
        <v>133</v>
      </c>
      <c r="G2081" t="s">
        <v>1688</v>
      </c>
      <c r="H2081" t="s">
        <v>1681</v>
      </c>
      <c r="I2081" t="s">
        <v>133</v>
      </c>
      <c r="M2081" t="s">
        <v>137</v>
      </c>
      <c r="O2081" t="s">
        <v>161</v>
      </c>
      <c r="R2081" t="s">
        <v>1689</v>
      </c>
      <c r="S2081" t="s">
        <v>1690</v>
      </c>
      <c r="T2081" t="s">
        <v>487</v>
      </c>
    </row>
    <row r="2082" spans="1:20" x14ac:dyDescent="0.2">
      <c r="A2082" t="s">
        <v>1670</v>
      </c>
      <c r="B2082" t="s">
        <v>1671</v>
      </c>
      <c r="C2082" t="s">
        <v>1672</v>
      </c>
      <c r="D2082" t="s">
        <v>35</v>
      </c>
      <c r="E2082" t="s">
        <v>133</v>
      </c>
      <c r="F2082" t="s">
        <v>133</v>
      </c>
      <c r="G2082" t="s">
        <v>1688</v>
      </c>
      <c r="H2082" t="s">
        <v>1684</v>
      </c>
      <c r="I2082" t="s">
        <v>133</v>
      </c>
      <c r="M2082" t="s">
        <v>137</v>
      </c>
      <c r="O2082" t="s">
        <v>161</v>
      </c>
      <c r="R2082" t="s">
        <v>1689</v>
      </c>
      <c r="S2082" t="s">
        <v>1690</v>
      </c>
      <c r="T2082" t="s">
        <v>487</v>
      </c>
    </row>
    <row r="2083" spans="1:20" x14ac:dyDescent="0.2">
      <c r="A2083" t="s">
        <v>1670</v>
      </c>
      <c r="B2083" t="s">
        <v>1671</v>
      </c>
      <c r="C2083" t="s">
        <v>1672</v>
      </c>
      <c r="D2083" t="s">
        <v>35</v>
      </c>
      <c r="E2083" t="s">
        <v>133</v>
      </c>
      <c r="F2083" t="s">
        <v>133</v>
      </c>
      <c r="G2083" t="s">
        <v>1688</v>
      </c>
      <c r="H2083" t="s">
        <v>1687</v>
      </c>
      <c r="I2083" t="s">
        <v>133</v>
      </c>
      <c r="M2083" t="s">
        <v>137</v>
      </c>
      <c r="O2083" t="s">
        <v>161</v>
      </c>
      <c r="R2083" t="s">
        <v>1689</v>
      </c>
      <c r="S2083" t="s">
        <v>1690</v>
      </c>
      <c r="T2083" t="s">
        <v>487</v>
      </c>
    </row>
    <row r="2084" spans="1:20" x14ac:dyDescent="0.2">
      <c r="A2084" t="s">
        <v>1670</v>
      </c>
      <c r="B2084" t="s">
        <v>1671</v>
      </c>
      <c r="C2084" t="s">
        <v>1672</v>
      </c>
      <c r="D2084" t="s">
        <v>35</v>
      </c>
      <c r="E2084" t="s">
        <v>133</v>
      </c>
      <c r="F2084" t="s">
        <v>133</v>
      </c>
      <c r="G2084" t="s">
        <v>1691</v>
      </c>
      <c r="H2084" t="s">
        <v>133</v>
      </c>
      <c r="I2084" t="s">
        <v>133</v>
      </c>
      <c r="M2084" t="s">
        <v>137</v>
      </c>
      <c r="O2084" t="s">
        <v>161</v>
      </c>
      <c r="R2084" t="s">
        <v>1692</v>
      </c>
      <c r="S2084" t="s">
        <v>1693</v>
      </c>
      <c r="T2084" t="s">
        <v>487</v>
      </c>
    </row>
    <row r="2085" spans="1:20" x14ac:dyDescent="0.2">
      <c r="A2085" t="s">
        <v>1670</v>
      </c>
      <c r="B2085" t="s">
        <v>1671</v>
      </c>
      <c r="C2085" t="s">
        <v>1672</v>
      </c>
      <c r="D2085" t="s">
        <v>35</v>
      </c>
      <c r="E2085" t="s">
        <v>133</v>
      </c>
      <c r="F2085" t="s">
        <v>133</v>
      </c>
      <c r="G2085" t="s">
        <v>1691</v>
      </c>
      <c r="H2085" t="s">
        <v>1673</v>
      </c>
      <c r="I2085" t="s">
        <v>133</v>
      </c>
      <c r="M2085" t="s">
        <v>137</v>
      </c>
      <c r="O2085" t="s">
        <v>161</v>
      </c>
      <c r="R2085" t="s">
        <v>1692</v>
      </c>
      <c r="S2085" t="s">
        <v>1693</v>
      </c>
      <c r="T2085" t="s">
        <v>487</v>
      </c>
    </row>
    <row r="2086" spans="1:20" x14ac:dyDescent="0.2">
      <c r="A2086" t="s">
        <v>1670</v>
      </c>
      <c r="B2086" t="s">
        <v>1671</v>
      </c>
      <c r="C2086" t="s">
        <v>1672</v>
      </c>
      <c r="D2086" t="s">
        <v>35</v>
      </c>
      <c r="E2086" t="s">
        <v>133</v>
      </c>
      <c r="F2086" t="s">
        <v>133</v>
      </c>
      <c r="G2086" t="s">
        <v>1691</v>
      </c>
      <c r="H2086" t="s">
        <v>1676</v>
      </c>
      <c r="I2086" t="s">
        <v>133</v>
      </c>
      <c r="M2086" t="s">
        <v>137</v>
      </c>
      <c r="O2086" t="s">
        <v>161</v>
      </c>
      <c r="R2086" t="s">
        <v>1692</v>
      </c>
      <c r="S2086" t="s">
        <v>1693</v>
      </c>
      <c r="T2086" t="s">
        <v>487</v>
      </c>
    </row>
    <row r="2087" spans="1:20" x14ac:dyDescent="0.2">
      <c r="A2087" t="s">
        <v>1670</v>
      </c>
      <c r="B2087" t="s">
        <v>1671</v>
      </c>
      <c r="C2087" t="s">
        <v>1672</v>
      </c>
      <c r="D2087" t="s">
        <v>35</v>
      </c>
      <c r="E2087" t="s">
        <v>133</v>
      </c>
      <c r="F2087" t="s">
        <v>133</v>
      </c>
      <c r="G2087" t="s">
        <v>1691</v>
      </c>
      <c r="H2087" t="s">
        <v>1679</v>
      </c>
      <c r="I2087" t="s">
        <v>133</v>
      </c>
      <c r="M2087" t="s">
        <v>137</v>
      </c>
      <c r="O2087" t="s">
        <v>161</v>
      </c>
      <c r="R2087" t="s">
        <v>1692</v>
      </c>
      <c r="S2087" t="s">
        <v>1693</v>
      </c>
      <c r="T2087" t="s">
        <v>487</v>
      </c>
    </row>
    <row r="2088" spans="1:20" x14ac:dyDescent="0.2">
      <c r="A2088" t="s">
        <v>1670</v>
      </c>
      <c r="B2088" t="s">
        <v>1671</v>
      </c>
      <c r="C2088" t="s">
        <v>1672</v>
      </c>
      <c r="D2088" t="s">
        <v>35</v>
      </c>
      <c r="E2088" t="s">
        <v>133</v>
      </c>
      <c r="F2088" t="s">
        <v>133</v>
      </c>
      <c r="G2088" t="s">
        <v>1691</v>
      </c>
      <c r="H2088" t="s">
        <v>1681</v>
      </c>
      <c r="I2088" t="s">
        <v>133</v>
      </c>
      <c r="M2088" t="s">
        <v>137</v>
      </c>
      <c r="O2088" t="s">
        <v>161</v>
      </c>
      <c r="R2088" t="s">
        <v>1692</v>
      </c>
      <c r="S2088" t="s">
        <v>1693</v>
      </c>
      <c r="T2088" t="s">
        <v>487</v>
      </c>
    </row>
    <row r="2089" spans="1:20" x14ac:dyDescent="0.2">
      <c r="A2089" t="s">
        <v>1670</v>
      </c>
      <c r="B2089" t="s">
        <v>1671</v>
      </c>
      <c r="C2089" t="s">
        <v>1672</v>
      </c>
      <c r="D2089" t="s">
        <v>35</v>
      </c>
      <c r="E2089" t="s">
        <v>133</v>
      </c>
      <c r="F2089" t="s">
        <v>133</v>
      </c>
      <c r="G2089" t="s">
        <v>1691</v>
      </c>
      <c r="H2089" t="s">
        <v>1684</v>
      </c>
      <c r="I2089" t="s">
        <v>133</v>
      </c>
      <c r="M2089" t="s">
        <v>137</v>
      </c>
      <c r="O2089" t="s">
        <v>161</v>
      </c>
      <c r="R2089" t="s">
        <v>1692</v>
      </c>
      <c r="S2089" t="s">
        <v>1693</v>
      </c>
      <c r="T2089" t="s">
        <v>487</v>
      </c>
    </row>
    <row r="2090" spans="1:20" x14ac:dyDescent="0.2">
      <c r="A2090" t="s">
        <v>1670</v>
      </c>
      <c r="B2090" t="s">
        <v>1671</v>
      </c>
      <c r="C2090" t="s">
        <v>1672</v>
      </c>
      <c r="D2090" t="s">
        <v>35</v>
      </c>
      <c r="E2090" t="s">
        <v>133</v>
      </c>
      <c r="F2090" t="s">
        <v>133</v>
      </c>
      <c r="G2090" t="s">
        <v>1691</v>
      </c>
      <c r="H2090" t="s">
        <v>1687</v>
      </c>
      <c r="I2090" t="s">
        <v>133</v>
      </c>
      <c r="M2090" t="s">
        <v>137</v>
      </c>
      <c r="O2090" t="s">
        <v>161</v>
      </c>
      <c r="R2090" t="s">
        <v>1692</v>
      </c>
      <c r="S2090" t="s">
        <v>1693</v>
      </c>
      <c r="T2090" t="s">
        <v>487</v>
      </c>
    </row>
    <row r="2091" spans="1:20" x14ac:dyDescent="0.2">
      <c r="A2091" t="s">
        <v>1694</v>
      </c>
      <c r="B2091" t="s">
        <v>1695</v>
      </c>
      <c r="C2091" t="s">
        <v>1696</v>
      </c>
      <c r="D2091" t="s">
        <v>35</v>
      </c>
      <c r="E2091" t="s">
        <v>133</v>
      </c>
      <c r="F2091" t="s">
        <v>133</v>
      </c>
      <c r="G2091" t="s">
        <v>133</v>
      </c>
      <c r="H2091" t="s">
        <v>1673</v>
      </c>
      <c r="I2091" t="s">
        <v>133</v>
      </c>
      <c r="M2091" t="s">
        <v>137</v>
      </c>
      <c r="O2091" t="s">
        <v>161</v>
      </c>
      <c r="R2091" t="s">
        <v>1674</v>
      </c>
      <c r="S2091" t="s">
        <v>1675</v>
      </c>
      <c r="T2091" t="s">
        <v>487</v>
      </c>
    </row>
    <row r="2092" spans="1:20" x14ac:dyDescent="0.2">
      <c r="A2092" t="s">
        <v>1694</v>
      </c>
      <c r="B2092" t="s">
        <v>1695</v>
      </c>
      <c r="C2092" t="s">
        <v>1696</v>
      </c>
      <c r="D2092" t="s">
        <v>35</v>
      </c>
      <c r="E2092" t="s">
        <v>133</v>
      </c>
      <c r="F2092" t="s">
        <v>133</v>
      </c>
      <c r="G2092" t="s">
        <v>133</v>
      </c>
      <c r="H2092" t="s">
        <v>1676</v>
      </c>
      <c r="I2092" t="s">
        <v>133</v>
      </c>
      <c r="M2092" t="s">
        <v>137</v>
      </c>
      <c r="O2092" t="s">
        <v>161</v>
      </c>
      <c r="R2092" t="s">
        <v>1677</v>
      </c>
      <c r="S2092" t="s">
        <v>1678</v>
      </c>
      <c r="T2092" t="s">
        <v>487</v>
      </c>
    </row>
    <row r="2093" spans="1:20" x14ac:dyDescent="0.2">
      <c r="A2093" t="s">
        <v>1694</v>
      </c>
      <c r="B2093" t="s">
        <v>1695</v>
      </c>
      <c r="C2093" t="s">
        <v>1696</v>
      </c>
      <c r="D2093" t="s">
        <v>35</v>
      </c>
      <c r="E2093" t="s">
        <v>133</v>
      </c>
      <c r="F2093" t="s">
        <v>133</v>
      </c>
      <c r="G2093" t="s">
        <v>133</v>
      </c>
      <c r="H2093" t="s">
        <v>1679</v>
      </c>
      <c r="I2093" t="s">
        <v>133</v>
      </c>
      <c r="M2093" t="s">
        <v>137</v>
      </c>
      <c r="O2093" t="s">
        <v>161</v>
      </c>
      <c r="R2093" t="s">
        <v>1680</v>
      </c>
      <c r="S2093" t="s">
        <v>1658</v>
      </c>
      <c r="T2093" t="s">
        <v>487</v>
      </c>
    </row>
    <row r="2094" spans="1:20" x14ac:dyDescent="0.2">
      <c r="A2094" t="s">
        <v>1694</v>
      </c>
      <c r="B2094" t="s">
        <v>1695</v>
      </c>
      <c r="C2094" t="s">
        <v>1696</v>
      </c>
      <c r="D2094" t="s">
        <v>35</v>
      </c>
      <c r="E2094" t="s">
        <v>133</v>
      </c>
      <c r="F2094" t="s">
        <v>133</v>
      </c>
      <c r="G2094" t="s">
        <v>133</v>
      </c>
      <c r="H2094" t="s">
        <v>1681</v>
      </c>
      <c r="I2094" t="s">
        <v>133</v>
      </c>
      <c r="M2094" t="s">
        <v>137</v>
      </c>
      <c r="O2094" t="s">
        <v>161</v>
      </c>
      <c r="R2094" t="s">
        <v>1682</v>
      </c>
      <c r="S2094" t="s">
        <v>1683</v>
      </c>
      <c r="T2094" t="s">
        <v>487</v>
      </c>
    </row>
    <row r="2095" spans="1:20" x14ac:dyDescent="0.2">
      <c r="A2095" t="s">
        <v>1694</v>
      </c>
      <c r="B2095" t="s">
        <v>1695</v>
      </c>
      <c r="C2095" t="s">
        <v>1696</v>
      </c>
      <c r="D2095" t="s">
        <v>35</v>
      </c>
      <c r="E2095" t="s">
        <v>133</v>
      </c>
      <c r="F2095" t="s">
        <v>133</v>
      </c>
      <c r="G2095" t="s">
        <v>133</v>
      </c>
      <c r="H2095" t="s">
        <v>1684</v>
      </c>
      <c r="I2095" t="s">
        <v>133</v>
      </c>
      <c r="M2095" t="s">
        <v>137</v>
      </c>
      <c r="O2095" t="s">
        <v>161</v>
      </c>
      <c r="R2095" t="s">
        <v>1685</v>
      </c>
      <c r="S2095" t="s">
        <v>1686</v>
      </c>
      <c r="T2095" t="s">
        <v>487</v>
      </c>
    </row>
    <row r="2096" spans="1:20" x14ac:dyDescent="0.2">
      <c r="A2096" t="s">
        <v>1694</v>
      </c>
      <c r="B2096" t="s">
        <v>1695</v>
      </c>
      <c r="C2096" t="s">
        <v>1696</v>
      </c>
      <c r="D2096" t="s">
        <v>35</v>
      </c>
      <c r="E2096" t="s">
        <v>133</v>
      </c>
      <c r="F2096" t="s">
        <v>133</v>
      </c>
      <c r="G2096" t="s">
        <v>133</v>
      </c>
      <c r="H2096" t="s">
        <v>1687</v>
      </c>
      <c r="I2096" t="s">
        <v>133</v>
      </c>
      <c r="M2096" t="s">
        <v>137</v>
      </c>
      <c r="O2096" t="s">
        <v>161</v>
      </c>
      <c r="R2096" t="s">
        <v>1219</v>
      </c>
      <c r="S2096" t="s">
        <v>1220</v>
      </c>
      <c r="T2096" t="s">
        <v>487</v>
      </c>
    </row>
    <row r="2097" spans="1:20" x14ac:dyDescent="0.2">
      <c r="A2097" t="s">
        <v>1694</v>
      </c>
      <c r="B2097" t="s">
        <v>1695</v>
      </c>
      <c r="C2097" t="s">
        <v>1696</v>
      </c>
      <c r="D2097" t="s">
        <v>35</v>
      </c>
      <c r="E2097" t="s">
        <v>133</v>
      </c>
      <c r="F2097" t="s">
        <v>133</v>
      </c>
      <c r="G2097" t="s">
        <v>1003</v>
      </c>
      <c r="H2097" t="s">
        <v>133</v>
      </c>
      <c r="I2097" t="s">
        <v>133</v>
      </c>
      <c r="M2097" t="s">
        <v>137</v>
      </c>
      <c r="O2097" t="s">
        <v>161</v>
      </c>
      <c r="R2097" t="s">
        <v>1004</v>
      </c>
      <c r="S2097" t="s">
        <v>1005</v>
      </c>
      <c r="T2097" t="s">
        <v>487</v>
      </c>
    </row>
    <row r="2098" spans="1:20" x14ac:dyDescent="0.2">
      <c r="A2098" t="s">
        <v>1694</v>
      </c>
      <c r="B2098" t="s">
        <v>1695</v>
      </c>
      <c r="C2098" t="s">
        <v>1696</v>
      </c>
      <c r="D2098" t="s">
        <v>35</v>
      </c>
      <c r="E2098" t="s">
        <v>133</v>
      </c>
      <c r="F2098" t="s">
        <v>133</v>
      </c>
      <c r="G2098" t="s">
        <v>1003</v>
      </c>
      <c r="H2098" t="s">
        <v>1673</v>
      </c>
      <c r="I2098" t="s">
        <v>133</v>
      </c>
      <c r="M2098" t="s">
        <v>137</v>
      </c>
      <c r="O2098" t="s">
        <v>161</v>
      </c>
      <c r="R2098" t="s">
        <v>1004</v>
      </c>
      <c r="S2098" t="s">
        <v>1005</v>
      </c>
      <c r="T2098" t="s">
        <v>487</v>
      </c>
    </row>
    <row r="2099" spans="1:20" x14ac:dyDescent="0.2">
      <c r="A2099" t="s">
        <v>1694</v>
      </c>
      <c r="B2099" t="s">
        <v>1695</v>
      </c>
      <c r="C2099" t="s">
        <v>1696</v>
      </c>
      <c r="D2099" t="s">
        <v>35</v>
      </c>
      <c r="E2099" t="s">
        <v>133</v>
      </c>
      <c r="F2099" t="s">
        <v>133</v>
      </c>
      <c r="G2099" t="s">
        <v>1003</v>
      </c>
      <c r="H2099" t="s">
        <v>1676</v>
      </c>
      <c r="I2099" t="s">
        <v>133</v>
      </c>
      <c r="M2099" t="s">
        <v>137</v>
      </c>
      <c r="O2099" t="s">
        <v>161</v>
      </c>
      <c r="R2099" t="s">
        <v>1004</v>
      </c>
      <c r="S2099" t="s">
        <v>1005</v>
      </c>
      <c r="T2099" t="s">
        <v>487</v>
      </c>
    </row>
    <row r="2100" spans="1:20" x14ac:dyDescent="0.2">
      <c r="A2100" t="s">
        <v>1694</v>
      </c>
      <c r="B2100" t="s">
        <v>1695</v>
      </c>
      <c r="C2100" t="s">
        <v>1696</v>
      </c>
      <c r="D2100" t="s">
        <v>35</v>
      </c>
      <c r="E2100" t="s">
        <v>133</v>
      </c>
      <c r="F2100" t="s">
        <v>133</v>
      </c>
      <c r="G2100" t="s">
        <v>1003</v>
      </c>
      <c r="H2100" t="s">
        <v>1679</v>
      </c>
      <c r="I2100" t="s">
        <v>133</v>
      </c>
      <c r="M2100" t="s">
        <v>137</v>
      </c>
      <c r="O2100" t="s">
        <v>161</v>
      </c>
      <c r="R2100" t="s">
        <v>1004</v>
      </c>
      <c r="S2100" t="s">
        <v>1005</v>
      </c>
      <c r="T2100" t="s">
        <v>487</v>
      </c>
    </row>
    <row r="2101" spans="1:20" x14ac:dyDescent="0.2">
      <c r="A2101" t="s">
        <v>1694</v>
      </c>
      <c r="B2101" t="s">
        <v>1695</v>
      </c>
      <c r="C2101" t="s">
        <v>1696</v>
      </c>
      <c r="D2101" t="s">
        <v>35</v>
      </c>
      <c r="E2101" t="s">
        <v>133</v>
      </c>
      <c r="F2101" t="s">
        <v>133</v>
      </c>
      <c r="G2101" t="s">
        <v>1003</v>
      </c>
      <c r="H2101" t="s">
        <v>1681</v>
      </c>
      <c r="I2101" t="s">
        <v>133</v>
      </c>
      <c r="M2101" t="s">
        <v>137</v>
      </c>
      <c r="O2101" t="s">
        <v>161</v>
      </c>
      <c r="R2101" t="s">
        <v>1004</v>
      </c>
      <c r="S2101" t="s">
        <v>1005</v>
      </c>
      <c r="T2101" t="s">
        <v>487</v>
      </c>
    </row>
    <row r="2102" spans="1:20" x14ac:dyDescent="0.2">
      <c r="A2102" t="s">
        <v>1694</v>
      </c>
      <c r="B2102" t="s">
        <v>1695</v>
      </c>
      <c r="C2102" t="s">
        <v>1696</v>
      </c>
      <c r="D2102" t="s">
        <v>35</v>
      </c>
      <c r="E2102" t="s">
        <v>133</v>
      </c>
      <c r="F2102" t="s">
        <v>133</v>
      </c>
      <c r="G2102" t="s">
        <v>1003</v>
      </c>
      <c r="H2102" t="s">
        <v>1684</v>
      </c>
      <c r="I2102" t="s">
        <v>133</v>
      </c>
      <c r="M2102" t="s">
        <v>137</v>
      </c>
      <c r="O2102" t="s">
        <v>161</v>
      </c>
      <c r="R2102" t="s">
        <v>1004</v>
      </c>
      <c r="S2102" t="s">
        <v>1005</v>
      </c>
      <c r="T2102" t="s">
        <v>487</v>
      </c>
    </row>
    <row r="2103" spans="1:20" x14ac:dyDescent="0.2">
      <c r="A2103" t="s">
        <v>1694</v>
      </c>
      <c r="B2103" t="s">
        <v>1695</v>
      </c>
      <c r="C2103" t="s">
        <v>1696</v>
      </c>
      <c r="D2103" t="s">
        <v>35</v>
      </c>
      <c r="E2103" t="s">
        <v>133</v>
      </c>
      <c r="F2103" t="s">
        <v>133</v>
      </c>
      <c r="G2103" t="s">
        <v>1003</v>
      </c>
      <c r="H2103" t="s">
        <v>1687</v>
      </c>
      <c r="I2103" t="s">
        <v>133</v>
      </c>
      <c r="M2103" t="s">
        <v>137</v>
      </c>
      <c r="O2103" t="s">
        <v>161</v>
      </c>
      <c r="R2103" t="s">
        <v>1004</v>
      </c>
      <c r="S2103" t="s">
        <v>1005</v>
      </c>
      <c r="T2103" t="s">
        <v>487</v>
      </c>
    </row>
    <row r="2104" spans="1:20" x14ac:dyDescent="0.2">
      <c r="A2104" t="s">
        <v>1694</v>
      </c>
      <c r="B2104" t="s">
        <v>1695</v>
      </c>
      <c r="C2104" t="s">
        <v>1696</v>
      </c>
      <c r="D2104" t="s">
        <v>35</v>
      </c>
      <c r="E2104" t="s">
        <v>133</v>
      </c>
      <c r="F2104" t="s">
        <v>133</v>
      </c>
      <c r="G2104" t="s">
        <v>1688</v>
      </c>
      <c r="H2104" t="s">
        <v>133</v>
      </c>
      <c r="I2104" t="s">
        <v>133</v>
      </c>
      <c r="M2104" t="s">
        <v>137</v>
      </c>
      <c r="O2104" t="s">
        <v>161</v>
      </c>
      <c r="R2104" t="s">
        <v>1689</v>
      </c>
      <c r="S2104" t="s">
        <v>1690</v>
      </c>
      <c r="T2104" t="s">
        <v>487</v>
      </c>
    </row>
    <row r="2105" spans="1:20" x14ac:dyDescent="0.2">
      <c r="A2105" t="s">
        <v>1694</v>
      </c>
      <c r="B2105" t="s">
        <v>1695</v>
      </c>
      <c r="C2105" t="s">
        <v>1696</v>
      </c>
      <c r="D2105" t="s">
        <v>35</v>
      </c>
      <c r="E2105" t="s">
        <v>133</v>
      </c>
      <c r="F2105" t="s">
        <v>133</v>
      </c>
      <c r="G2105" t="s">
        <v>1688</v>
      </c>
      <c r="H2105" t="s">
        <v>1673</v>
      </c>
      <c r="I2105" t="s">
        <v>133</v>
      </c>
      <c r="M2105" t="s">
        <v>137</v>
      </c>
      <c r="O2105" t="s">
        <v>161</v>
      </c>
      <c r="R2105" t="s">
        <v>1689</v>
      </c>
      <c r="S2105" t="s">
        <v>1690</v>
      </c>
      <c r="T2105" t="s">
        <v>487</v>
      </c>
    </row>
    <row r="2106" spans="1:20" x14ac:dyDescent="0.2">
      <c r="A2106" t="s">
        <v>1694</v>
      </c>
      <c r="B2106" t="s">
        <v>1695</v>
      </c>
      <c r="C2106" t="s">
        <v>1696</v>
      </c>
      <c r="D2106" t="s">
        <v>35</v>
      </c>
      <c r="E2106" t="s">
        <v>133</v>
      </c>
      <c r="F2106" t="s">
        <v>133</v>
      </c>
      <c r="G2106" t="s">
        <v>1688</v>
      </c>
      <c r="H2106" t="s">
        <v>1676</v>
      </c>
      <c r="I2106" t="s">
        <v>133</v>
      </c>
      <c r="M2106" t="s">
        <v>137</v>
      </c>
      <c r="O2106" t="s">
        <v>161</v>
      </c>
      <c r="R2106" t="s">
        <v>1689</v>
      </c>
      <c r="S2106" t="s">
        <v>1690</v>
      </c>
      <c r="T2106" t="s">
        <v>487</v>
      </c>
    </row>
    <row r="2107" spans="1:20" x14ac:dyDescent="0.2">
      <c r="A2107" t="s">
        <v>1694</v>
      </c>
      <c r="B2107" t="s">
        <v>1695</v>
      </c>
      <c r="C2107" t="s">
        <v>1696</v>
      </c>
      <c r="D2107" t="s">
        <v>35</v>
      </c>
      <c r="E2107" t="s">
        <v>133</v>
      </c>
      <c r="F2107" t="s">
        <v>133</v>
      </c>
      <c r="G2107" t="s">
        <v>1688</v>
      </c>
      <c r="H2107" t="s">
        <v>1679</v>
      </c>
      <c r="I2107" t="s">
        <v>133</v>
      </c>
      <c r="M2107" t="s">
        <v>137</v>
      </c>
      <c r="O2107" t="s">
        <v>161</v>
      </c>
      <c r="R2107" t="s">
        <v>1689</v>
      </c>
      <c r="S2107" t="s">
        <v>1690</v>
      </c>
      <c r="T2107" t="s">
        <v>487</v>
      </c>
    </row>
    <row r="2108" spans="1:20" x14ac:dyDescent="0.2">
      <c r="A2108" t="s">
        <v>1694</v>
      </c>
      <c r="B2108" t="s">
        <v>1695</v>
      </c>
      <c r="C2108" t="s">
        <v>1696</v>
      </c>
      <c r="D2108" t="s">
        <v>35</v>
      </c>
      <c r="E2108" t="s">
        <v>133</v>
      </c>
      <c r="F2108" t="s">
        <v>133</v>
      </c>
      <c r="G2108" t="s">
        <v>1688</v>
      </c>
      <c r="H2108" t="s">
        <v>1681</v>
      </c>
      <c r="I2108" t="s">
        <v>133</v>
      </c>
      <c r="M2108" t="s">
        <v>137</v>
      </c>
      <c r="O2108" t="s">
        <v>161</v>
      </c>
      <c r="R2108" t="s">
        <v>1689</v>
      </c>
      <c r="S2108" t="s">
        <v>1690</v>
      </c>
      <c r="T2108" t="s">
        <v>487</v>
      </c>
    </row>
    <row r="2109" spans="1:20" x14ac:dyDescent="0.2">
      <c r="A2109" t="s">
        <v>1694</v>
      </c>
      <c r="B2109" t="s">
        <v>1695</v>
      </c>
      <c r="C2109" t="s">
        <v>1696</v>
      </c>
      <c r="D2109" t="s">
        <v>35</v>
      </c>
      <c r="E2109" t="s">
        <v>133</v>
      </c>
      <c r="F2109" t="s">
        <v>133</v>
      </c>
      <c r="G2109" t="s">
        <v>1688</v>
      </c>
      <c r="H2109" t="s">
        <v>1684</v>
      </c>
      <c r="I2109" t="s">
        <v>133</v>
      </c>
      <c r="M2109" t="s">
        <v>137</v>
      </c>
      <c r="O2109" t="s">
        <v>161</v>
      </c>
      <c r="R2109" t="s">
        <v>1689</v>
      </c>
      <c r="S2109" t="s">
        <v>1690</v>
      </c>
      <c r="T2109" t="s">
        <v>487</v>
      </c>
    </row>
    <row r="2110" spans="1:20" x14ac:dyDescent="0.2">
      <c r="A2110" t="s">
        <v>1694</v>
      </c>
      <c r="B2110" t="s">
        <v>1695</v>
      </c>
      <c r="C2110" t="s">
        <v>1696</v>
      </c>
      <c r="D2110" t="s">
        <v>35</v>
      </c>
      <c r="E2110" t="s">
        <v>133</v>
      </c>
      <c r="F2110" t="s">
        <v>133</v>
      </c>
      <c r="G2110" t="s">
        <v>1688</v>
      </c>
      <c r="H2110" t="s">
        <v>1687</v>
      </c>
      <c r="I2110" t="s">
        <v>133</v>
      </c>
      <c r="M2110" t="s">
        <v>137</v>
      </c>
      <c r="O2110" t="s">
        <v>161</v>
      </c>
      <c r="R2110" t="s">
        <v>1689</v>
      </c>
      <c r="S2110" t="s">
        <v>1690</v>
      </c>
      <c r="T2110" t="s">
        <v>487</v>
      </c>
    </row>
    <row r="2111" spans="1:20" x14ac:dyDescent="0.2">
      <c r="A2111" t="s">
        <v>1694</v>
      </c>
      <c r="B2111" t="s">
        <v>1695</v>
      </c>
      <c r="C2111" t="s">
        <v>1696</v>
      </c>
      <c r="D2111" t="s">
        <v>35</v>
      </c>
      <c r="E2111" t="s">
        <v>133</v>
      </c>
      <c r="F2111" t="s">
        <v>133</v>
      </c>
      <c r="G2111" t="s">
        <v>1691</v>
      </c>
      <c r="H2111" t="s">
        <v>133</v>
      </c>
      <c r="I2111" t="s">
        <v>133</v>
      </c>
      <c r="M2111" t="s">
        <v>137</v>
      </c>
      <c r="O2111" t="s">
        <v>161</v>
      </c>
      <c r="R2111" t="s">
        <v>1692</v>
      </c>
      <c r="S2111" t="s">
        <v>1693</v>
      </c>
      <c r="T2111" t="s">
        <v>487</v>
      </c>
    </row>
    <row r="2112" spans="1:20" x14ac:dyDescent="0.2">
      <c r="A2112" t="s">
        <v>1694</v>
      </c>
      <c r="B2112" t="s">
        <v>1695</v>
      </c>
      <c r="C2112" t="s">
        <v>1696</v>
      </c>
      <c r="D2112" t="s">
        <v>35</v>
      </c>
      <c r="E2112" t="s">
        <v>133</v>
      </c>
      <c r="F2112" t="s">
        <v>133</v>
      </c>
      <c r="G2112" t="s">
        <v>1691</v>
      </c>
      <c r="H2112" t="s">
        <v>1673</v>
      </c>
      <c r="I2112" t="s">
        <v>133</v>
      </c>
      <c r="M2112" t="s">
        <v>137</v>
      </c>
      <c r="O2112" t="s">
        <v>161</v>
      </c>
      <c r="R2112" t="s">
        <v>1692</v>
      </c>
      <c r="S2112" t="s">
        <v>1693</v>
      </c>
      <c r="T2112" t="s">
        <v>487</v>
      </c>
    </row>
    <row r="2113" spans="1:20" x14ac:dyDescent="0.2">
      <c r="A2113" t="s">
        <v>1694</v>
      </c>
      <c r="B2113" t="s">
        <v>1695</v>
      </c>
      <c r="C2113" t="s">
        <v>1696</v>
      </c>
      <c r="D2113" t="s">
        <v>35</v>
      </c>
      <c r="E2113" t="s">
        <v>133</v>
      </c>
      <c r="F2113" t="s">
        <v>133</v>
      </c>
      <c r="G2113" t="s">
        <v>1691</v>
      </c>
      <c r="H2113" t="s">
        <v>1676</v>
      </c>
      <c r="I2113" t="s">
        <v>133</v>
      </c>
      <c r="M2113" t="s">
        <v>137</v>
      </c>
      <c r="O2113" t="s">
        <v>161</v>
      </c>
      <c r="R2113" t="s">
        <v>1692</v>
      </c>
      <c r="S2113" t="s">
        <v>1693</v>
      </c>
      <c r="T2113" t="s">
        <v>487</v>
      </c>
    </row>
    <row r="2114" spans="1:20" x14ac:dyDescent="0.2">
      <c r="A2114" t="s">
        <v>1694</v>
      </c>
      <c r="B2114" t="s">
        <v>1695</v>
      </c>
      <c r="C2114" t="s">
        <v>1696</v>
      </c>
      <c r="D2114" t="s">
        <v>35</v>
      </c>
      <c r="E2114" t="s">
        <v>133</v>
      </c>
      <c r="F2114" t="s">
        <v>133</v>
      </c>
      <c r="G2114" t="s">
        <v>1691</v>
      </c>
      <c r="H2114" t="s">
        <v>1679</v>
      </c>
      <c r="I2114" t="s">
        <v>133</v>
      </c>
      <c r="M2114" t="s">
        <v>137</v>
      </c>
      <c r="O2114" t="s">
        <v>161</v>
      </c>
      <c r="R2114" t="s">
        <v>1692</v>
      </c>
      <c r="S2114" t="s">
        <v>1693</v>
      </c>
      <c r="T2114" t="s">
        <v>487</v>
      </c>
    </row>
    <row r="2115" spans="1:20" x14ac:dyDescent="0.2">
      <c r="A2115" t="s">
        <v>1694</v>
      </c>
      <c r="B2115" t="s">
        <v>1695</v>
      </c>
      <c r="C2115" t="s">
        <v>1696</v>
      </c>
      <c r="D2115" t="s">
        <v>35</v>
      </c>
      <c r="E2115" t="s">
        <v>133</v>
      </c>
      <c r="F2115" t="s">
        <v>133</v>
      </c>
      <c r="G2115" t="s">
        <v>1691</v>
      </c>
      <c r="H2115" t="s">
        <v>1681</v>
      </c>
      <c r="I2115" t="s">
        <v>133</v>
      </c>
      <c r="M2115" t="s">
        <v>137</v>
      </c>
      <c r="O2115" t="s">
        <v>161</v>
      </c>
      <c r="R2115" t="s">
        <v>1692</v>
      </c>
      <c r="S2115" t="s">
        <v>1693</v>
      </c>
      <c r="T2115" t="s">
        <v>487</v>
      </c>
    </row>
    <row r="2116" spans="1:20" x14ac:dyDescent="0.2">
      <c r="A2116" t="s">
        <v>1694</v>
      </c>
      <c r="B2116" t="s">
        <v>1695</v>
      </c>
      <c r="C2116" t="s">
        <v>1696</v>
      </c>
      <c r="D2116" t="s">
        <v>35</v>
      </c>
      <c r="E2116" t="s">
        <v>133</v>
      </c>
      <c r="F2116" t="s">
        <v>133</v>
      </c>
      <c r="G2116" t="s">
        <v>1691</v>
      </c>
      <c r="H2116" t="s">
        <v>1684</v>
      </c>
      <c r="I2116" t="s">
        <v>133</v>
      </c>
      <c r="M2116" t="s">
        <v>137</v>
      </c>
      <c r="O2116" t="s">
        <v>161</v>
      </c>
      <c r="R2116" t="s">
        <v>1692</v>
      </c>
      <c r="S2116" t="s">
        <v>1693</v>
      </c>
      <c r="T2116" t="s">
        <v>487</v>
      </c>
    </row>
    <row r="2117" spans="1:20" x14ac:dyDescent="0.2">
      <c r="A2117" t="s">
        <v>1694</v>
      </c>
      <c r="B2117" t="s">
        <v>1695</v>
      </c>
      <c r="C2117" t="s">
        <v>1696</v>
      </c>
      <c r="D2117" t="s">
        <v>35</v>
      </c>
      <c r="E2117" t="s">
        <v>133</v>
      </c>
      <c r="F2117" t="s">
        <v>133</v>
      </c>
      <c r="G2117" t="s">
        <v>1691</v>
      </c>
      <c r="H2117" t="s">
        <v>1687</v>
      </c>
      <c r="I2117" t="s">
        <v>133</v>
      </c>
      <c r="M2117" t="s">
        <v>137</v>
      </c>
      <c r="O2117" t="s">
        <v>161</v>
      </c>
      <c r="R2117" t="s">
        <v>1692</v>
      </c>
      <c r="S2117" t="s">
        <v>1693</v>
      </c>
      <c r="T2117" t="s">
        <v>487</v>
      </c>
    </row>
    <row r="2118" spans="1:20" x14ac:dyDescent="0.2">
      <c r="A2118" t="s">
        <v>6308</v>
      </c>
      <c r="B2118" t="s">
        <v>6309</v>
      </c>
      <c r="C2118" t="s">
        <v>6310</v>
      </c>
      <c r="D2118" t="s">
        <v>61</v>
      </c>
      <c r="E2118" t="s">
        <v>133</v>
      </c>
      <c r="F2118" t="s">
        <v>133</v>
      </c>
      <c r="G2118" t="s">
        <v>133</v>
      </c>
      <c r="H2118" t="s">
        <v>133</v>
      </c>
      <c r="K2118" t="s">
        <v>6311</v>
      </c>
      <c r="M2118" t="s">
        <v>137</v>
      </c>
      <c r="Q2118" t="s">
        <v>6311</v>
      </c>
    </row>
    <row r="2119" spans="1:20" x14ac:dyDescent="0.2">
      <c r="A2119" t="s">
        <v>6312</v>
      </c>
      <c r="B2119" t="s">
        <v>6313</v>
      </c>
      <c r="C2119" t="s">
        <v>6314</v>
      </c>
      <c r="D2119" t="s">
        <v>61</v>
      </c>
      <c r="E2119" t="s">
        <v>133</v>
      </c>
      <c r="F2119" t="s">
        <v>133</v>
      </c>
      <c r="G2119" t="s">
        <v>133</v>
      </c>
      <c r="H2119" t="s">
        <v>133</v>
      </c>
      <c r="K2119" t="s">
        <v>6315</v>
      </c>
      <c r="L2119" t="s">
        <v>135</v>
      </c>
      <c r="M2119" t="s">
        <v>282</v>
      </c>
      <c r="Q2119" t="s">
        <v>6315</v>
      </c>
    </row>
    <row r="2120" spans="1:20" x14ac:dyDescent="0.2">
      <c r="A2120" t="s">
        <v>6316</v>
      </c>
      <c r="B2120" t="s">
        <v>6317</v>
      </c>
      <c r="C2120" t="s">
        <v>6318</v>
      </c>
      <c r="D2120" t="s">
        <v>61</v>
      </c>
      <c r="E2120" t="s">
        <v>133</v>
      </c>
      <c r="F2120" t="s">
        <v>133</v>
      </c>
      <c r="G2120" t="s">
        <v>133</v>
      </c>
      <c r="H2120" t="s">
        <v>133</v>
      </c>
      <c r="K2120" t="s">
        <v>6319</v>
      </c>
      <c r="M2120" t="s">
        <v>137</v>
      </c>
      <c r="Q2120" t="s">
        <v>6319</v>
      </c>
    </row>
    <row r="2121" spans="1:20" x14ac:dyDescent="0.2">
      <c r="A2121" t="s">
        <v>6320</v>
      </c>
      <c r="B2121" t="s">
        <v>6321</v>
      </c>
      <c r="C2121" t="s">
        <v>6322</v>
      </c>
      <c r="D2121" t="s">
        <v>61</v>
      </c>
      <c r="E2121" t="s">
        <v>133</v>
      </c>
      <c r="F2121" t="s">
        <v>6323</v>
      </c>
      <c r="G2121" t="s">
        <v>133</v>
      </c>
      <c r="H2121" t="s">
        <v>133</v>
      </c>
      <c r="K2121" t="s">
        <v>6324</v>
      </c>
      <c r="M2121" t="s">
        <v>137</v>
      </c>
    </row>
    <row r="2122" spans="1:20" x14ac:dyDescent="0.2">
      <c r="A2122" t="s">
        <v>6325</v>
      </c>
      <c r="B2122" t="s">
        <v>6326</v>
      </c>
      <c r="C2122" t="s">
        <v>6327</v>
      </c>
      <c r="D2122" t="s">
        <v>61</v>
      </c>
      <c r="E2122" t="s">
        <v>133</v>
      </c>
      <c r="F2122" t="s">
        <v>6328</v>
      </c>
      <c r="G2122" t="s">
        <v>133</v>
      </c>
      <c r="H2122" t="s">
        <v>133</v>
      </c>
      <c r="K2122" t="s">
        <v>6324</v>
      </c>
      <c r="M2122" t="s">
        <v>137</v>
      </c>
    </row>
    <row r="2123" spans="1:20" x14ac:dyDescent="0.2">
      <c r="A2123" t="s">
        <v>6329</v>
      </c>
      <c r="B2123" t="s">
        <v>6330</v>
      </c>
      <c r="C2123" t="s">
        <v>6331</v>
      </c>
      <c r="D2123" t="s">
        <v>61</v>
      </c>
      <c r="E2123" t="s">
        <v>133</v>
      </c>
      <c r="F2123" t="s">
        <v>133</v>
      </c>
      <c r="G2123" t="s">
        <v>133</v>
      </c>
      <c r="H2123" t="s">
        <v>133</v>
      </c>
      <c r="K2123" t="s">
        <v>6332</v>
      </c>
      <c r="L2123" t="s">
        <v>135</v>
      </c>
      <c r="M2123" t="s">
        <v>282</v>
      </c>
    </row>
    <row r="2124" spans="1:20" x14ac:dyDescent="0.2">
      <c r="A2124" t="s">
        <v>6333</v>
      </c>
      <c r="B2124" t="s">
        <v>6334</v>
      </c>
      <c r="C2124" t="s">
        <v>6335</v>
      </c>
      <c r="D2124" t="s">
        <v>61</v>
      </c>
      <c r="E2124" t="s">
        <v>133</v>
      </c>
      <c r="F2124" t="s">
        <v>133</v>
      </c>
      <c r="G2124" t="s">
        <v>133</v>
      </c>
      <c r="H2124" t="s">
        <v>133</v>
      </c>
      <c r="K2124" t="s">
        <v>6336</v>
      </c>
      <c r="L2124" t="s">
        <v>135</v>
      </c>
      <c r="M2124" t="s">
        <v>282</v>
      </c>
    </row>
    <row r="2125" spans="1:20" x14ac:dyDescent="0.2">
      <c r="A2125" t="s">
        <v>6337</v>
      </c>
      <c r="B2125" t="s">
        <v>6338</v>
      </c>
      <c r="C2125" t="s">
        <v>6339</v>
      </c>
      <c r="D2125" t="s">
        <v>61</v>
      </c>
      <c r="E2125" t="s">
        <v>133</v>
      </c>
      <c r="F2125" t="s">
        <v>133</v>
      </c>
      <c r="G2125" t="s">
        <v>133</v>
      </c>
      <c r="H2125" t="s">
        <v>133</v>
      </c>
      <c r="K2125" t="s">
        <v>6340</v>
      </c>
      <c r="L2125" t="s">
        <v>135</v>
      </c>
      <c r="M2125" t="s">
        <v>282</v>
      </c>
    </row>
    <row r="2126" spans="1:20" x14ac:dyDescent="0.2">
      <c r="A2126" t="s">
        <v>6341</v>
      </c>
      <c r="B2126" t="s">
        <v>6342</v>
      </c>
      <c r="C2126" t="s">
        <v>6343</v>
      </c>
      <c r="D2126" t="s">
        <v>61</v>
      </c>
      <c r="E2126" t="s">
        <v>133</v>
      </c>
      <c r="F2126" t="s">
        <v>133</v>
      </c>
      <c r="G2126" t="s">
        <v>133</v>
      </c>
      <c r="H2126" t="s">
        <v>6344</v>
      </c>
      <c r="K2126" t="s">
        <v>385</v>
      </c>
      <c r="L2126" t="s">
        <v>135</v>
      </c>
      <c r="M2126" t="s">
        <v>282</v>
      </c>
    </row>
    <row r="2127" spans="1:20" x14ac:dyDescent="0.2">
      <c r="A2127" t="s">
        <v>6345</v>
      </c>
      <c r="B2127" t="s">
        <v>6346</v>
      </c>
      <c r="C2127" t="s">
        <v>6347</v>
      </c>
      <c r="D2127" t="s">
        <v>61</v>
      </c>
      <c r="E2127" t="s">
        <v>133</v>
      </c>
      <c r="F2127" t="s">
        <v>133</v>
      </c>
      <c r="G2127" t="s">
        <v>133</v>
      </c>
      <c r="H2127" t="s">
        <v>6348</v>
      </c>
      <c r="K2127" t="s">
        <v>385</v>
      </c>
      <c r="L2127" t="s">
        <v>135</v>
      </c>
      <c r="M2127" t="s">
        <v>282</v>
      </c>
    </row>
    <row r="2128" spans="1:20" x14ac:dyDescent="0.2">
      <c r="A2128" t="s">
        <v>6349</v>
      </c>
      <c r="B2128" t="s">
        <v>6350</v>
      </c>
      <c r="C2128" t="s">
        <v>6351</v>
      </c>
      <c r="D2128" t="s">
        <v>61</v>
      </c>
      <c r="E2128" t="s">
        <v>133</v>
      </c>
      <c r="F2128" t="s">
        <v>133</v>
      </c>
      <c r="G2128" t="s">
        <v>133</v>
      </c>
      <c r="H2128" t="s">
        <v>6352</v>
      </c>
      <c r="K2128" t="s">
        <v>385</v>
      </c>
      <c r="L2128" t="s">
        <v>135</v>
      </c>
      <c r="M2128" t="s">
        <v>282</v>
      </c>
    </row>
    <row r="2129" spans="1:17" x14ac:dyDescent="0.2">
      <c r="A2129" t="s">
        <v>6353</v>
      </c>
      <c r="B2129" t="s">
        <v>6354</v>
      </c>
      <c r="C2129" t="s">
        <v>6355</v>
      </c>
      <c r="D2129" t="s">
        <v>61</v>
      </c>
      <c r="E2129" t="s">
        <v>133</v>
      </c>
      <c r="F2129" t="s">
        <v>133</v>
      </c>
      <c r="G2129" t="s">
        <v>133</v>
      </c>
      <c r="H2129" t="s">
        <v>6356</v>
      </c>
      <c r="K2129" t="s">
        <v>385</v>
      </c>
      <c r="L2129" t="s">
        <v>135</v>
      </c>
      <c r="M2129" t="s">
        <v>282</v>
      </c>
    </row>
    <row r="2130" spans="1:17" x14ac:dyDescent="0.2">
      <c r="A2130" t="s">
        <v>6357</v>
      </c>
      <c r="B2130" t="s">
        <v>6358</v>
      </c>
      <c r="C2130" t="s">
        <v>6359</v>
      </c>
      <c r="D2130" t="s">
        <v>61</v>
      </c>
      <c r="E2130" t="s">
        <v>133</v>
      </c>
      <c r="F2130" t="s">
        <v>133</v>
      </c>
      <c r="G2130" t="s">
        <v>133</v>
      </c>
      <c r="H2130" t="s">
        <v>6360</v>
      </c>
      <c r="K2130" t="s">
        <v>6361</v>
      </c>
      <c r="L2130" t="s">
        <v>135</v>
      </c>
      <c r="M2130" t="s">
        <v>282</v>
      </c>
    </row>
    <row r="2131" spans="1:17" x14ac:dyDescent="0.2">
      <c r="A2131" t="s">
        <v>6362</v>
      </c>
      <c r="B2131" t="s">
        <v>6363</v>
      </c>
      <c r="C2131" t="s">
        <v>6364</v>
      </c>
      <c r="D2131" t="s">
        <v>61</v>
      </c>
      <c r="E2131" t="s">
        <v>133</v>
      </c>
      <c r="F2131" t="s">
        <v>133</v>
      </c>
      <c r="G2131" t="s">
        <v>133</v>
      </c>
      <c r="H2131" t="s">
        <v>133</v>
      </c>
      <c r="K2131" t="s">
        <v>6365</v>
      </c>
      <c r="L2131" t="s">
        <v>135</v>
      </c>
      <c r="M2131" t="s">
        <v>282</v>
      </c>
    </row>
    <row r="2132" spans="1:17" x14ac:dyDescent="0.2">
      <c r="A2132" t="s">
        <v>6366</v>
      </c>
      <c r="B2132" t="s">
        <v>6367</v>
      </c>
      <c r="C2132" t="s">
        <v>6368</v>
      </c>
      <c r="D2132" t="s">
        <v>61</v>
      </c>
      <c r="E2132" t="s">
        <v>133</v>
      </c>
      <c r="F2132" t="s">
        <v>133</v>
      </c>
      <c r="G2132" t="s">
        <v>133</v>
      </c>
      <c r="H2132" t="s">
        <v>133</v>
      </c>
      <c r="K2132" t="s">
        <v>6369</v>
      </c>
      <c r="M2132" t="s">
        <v>137</v>
      </c>
      <c r="Q2132" t="s">
        <v>6369</v>
      </c>
    </row>
    <row r="2133" spans="1:17" x14ac:dyDescent="0.2">
      <c r="A2133" t="s">
        <v>6370</v>
      </c>
      <c r="B2133" t="s">
        <v>6371</v>
      </c>
      <c r="C2133" t="s">
        <v>6372</v>
      </c>
      <c r="D2133" t="s">
        <v>61</v>
      </c>
      <c r="E2133" t="s">
        <v>133</v>
      </c>
      <c r="F2133" t="s">
        <v>133</v>
      </c>
      <c r="G2133" t="s">
        <v>133</v>
      </c>
      <c r="H2133" t="s">
        <v>133</v>
      </c>
      <c r="K2133" t="s">
        <v>6373</v>
      </c>
      <c r="L2133" t="s">
        <v>135</v>
      </c>
      <c r="M2133" t="s">
        <v>282</v>
      </c>
    </row>
    <row r="2134" spans="1:17" x14ac:dyDescent="0.2">
      <c r="A2134" t="s">
        <v>6374</v>
      </c>
      <c r="B2134" t="s">
        <v>6375</v>
      </c>
      <c r="C2134" t="s">
        <v>6376</v>
      </c>
      <c r="D2134" t="s">
        <v>61</v>
      </c>
      <c r="E2134" t="s">
        <v>133</v>
      </c>
      <c r="F2134" t="s">
        <v>133</v>
      </c>
      <c r="G2134" t="s">
        <v>133</v>
      </c>
      <c r="H2134" t="s">
        <v>133</v>
      </c>
      <c r="K2134" t="s">
        <v>6377</v>
      </c>
      <c r="L2134" t="s">
        <v>135</v>
      </c>
      <c r="M2134" t="s">
        <v>282</v>
      </c>
    </row>
    <row r="2135" spans="1:17" x14ac:dyDescent="0.2">
      <c r="A2135" t="s">
        <v>6378</v>
      </c>
      <c r="B2135" t="s">
        <v>6379</v>
      </c>
      <c r="C2135" t="s">
        <v>6380</v>
      </c>
      <c r="D2135" t="s">
        <v>61</v>
      </c>
      <c r="E2135" t="s">
        <v>133</v>
      </c>
      <c r="F2135" t="s">
        <v>133</v>
      </c>
      <c r="G2135" t="s">
        <v>133</v>
      </c>
      <c r="H2135" t="s">
        <v>133</v>
      </c>
      <c r="K2135" t="s">
        <v>6381</v>
      </c>
      <c r="M2135" t="s">
        <v>137</v>
      </c>
    </row>
    <row r="2136" spans="1:17" x14ac:dyDescent="0.2">
      <c r="A2136" t="s">
        <v>6382</v>
      </c>
      <c r="B2136" t="s">
        <v>6383</v>
      </c>
      <c r="C2136" t="s">
        <v>6384</v>
      </c>
      <c r="D2136" t="s">
        <v>61</v>
      </c>
      <c r="E2136" t="s">
        <v>133</v>
      </c>
      <c r="F2136" t="s">
        <v>6385</v>
      </c>
      <c r="G2136" t="s">
        <v>133</v>
      </c>
      <c r="H2136" t="s">
        <v>133</v>
      </c>
      <c r="K2136" t="s">
        <v>241</v>
      </c>
      <c r="M2136" t="s">
        <v>137</v>
      </c>
    </row>
    <row r="2137" spans="1:17" x14ac:dyDescent="0.2">
      <c r="A2137" t="s">
        <v>6386</v>
      </c>
      <c r="B2137" t="s">
        <v>6387</v>
      </c>
      <c r="C2137" t="s">
        <v>6388</v>
      </c>
      <c r="D2137" t="s">
        <v>61</v>
      </c>
      <c r="E2137" t="s">
        <v>133</v>
      </c>
      <c r="F2137" t="s">
        <v>6389</v>
      </c>
      <c r="G2137" t="s">
        <v>6390</v>
      </c>
      <c r="H2137" t="s">
        <v>133</v>
      </c>
      <c r="K2137" t="s">
        <v>241</v>
      </c>
      <c r="M2137" t="s">
        <v>137</v>
      </c>
    </row>
    <row r="2138" spans="1:17" x14ac:dyDescent="0.2">
      <c r="A2138" t="s">
        <v>6391</v>
      </c>
      <c r="B2138" t="s">
        <v>6392</v>
      </c>
      <c r="C2138" t="s">
        <v>6393</v>
      </c>
      <c r="D2138" t="s">
        <v>61</v>
      </c>
      <c r="E2138" t="s">
        <v>133</v>
      </c>
      <c r="F2138" t="s">
        <v>133</v>
      </c>
      <c r="G2138" t="s">
        <v>133</v>
      </c>
      <c r="H2138" t="s">
        <v>133</v>
      </c>
      <c r="K2138" t="s">
        <v>6394</v>
      </c>
      <c r="M2138" t="s">
        <v>137</v>
      </c>
    </row>
    <row r="2139" spans="1:17" x14ac:dyDescent="0.2">
      <c r="A2139" t="s">
        <v>6395</v>
      </c>
      <c r="B2139" t="s">
        <v>6396</v>
      </c>
      <c r="C2139" t="s">
        <v>6397</v>
      </c>
      <c r="D2139" t="s">
        <v>61</v>
      </c>
      <c r="E2139" t="s">
        <v>133</v>
      </c>
      <c r="F2139" t="s">
        <v>6385</v>
      </c>
      <c r="G2139" t="s">
        <v>133</v>
      </c>
      <c r="H2139" t="s">
        <v>133</v>
      </c>
      <c r="K2139" t="s">
        <v>236</v>
      </c>
      <c r="M2139" t="s">
        <v>137</v>
      </c>
    </row>
    <row r="2140" spans="1:17" x14ac:dyDescent="0.2">
      <c r="A2140" t="s">
        <v>6398</v>
      </c>
      <c r="B2140" t="s">
        <v>6399</v>
      </c>
      <c r="C2140" t="s">
        <v>6400</v>
      </c>
      <c r="D2140" t="s">
        <v>61</v>
      </c>
      <c r="E2140" t="s">
        <v>133</v>
      </c>
      <c r="F2140" t="s">
        <v>6389</v>
      </c>
      <c r="G2140" t="s">
        <v>6390</v>
      </c>
      <c r="H2140" t="s">
        <v>133</v>
      </c>
      <c r="K2140" t="s">
        <v>236</v>
      </c>
      <c r="M2140" t="s">
        <v>137</v>
      </c>
    </row>
    <row r="2141" spans="1:17" x14ac:dyDescent="0.2">
      <c r="A2141" t="s">
        <v>6401</v>
      </c>
      <c r="B2141" t="s">
        <v>6402</v>
      </c>
      <c r="C2141" t="s">
        <v>6403</v>
      </c>
      <c r="D2141" t="s">
        <v>61</v>
      </c>
      <c r="E2141" t="s">
        <v>133</v>
      </c>
      <c r="F2141" t="s">
        <v>133</v>
      </c>
      <c r="G2141" t="s">
        <v>133</v>
      </c>
      <c r="H2141" t="s">
        <v>133</v>
      </c>
      <c r="K2141" t="s">
        <v>6404</v>
      </c>
      <c r="M2141" t="s">
        <v>137</v>
      </c>
    </row>
    <row r="2142" spans="1:17" x14ac:dyDescent="0.2">
      <c r="A2142" t="s">
        <v>6405</v>
      </c>
      <c r="B2142" t="s">
        <v>6406</v>
      </c>
      <c r="C2142" t="s">
        <v>6407</v>
      </c>
      <c r="D2142" t="s">
        <v>61</v>
      </c>
      <c r="E2142" t="s">
        <v>133</v>
      </c>
      <c r="F2142" t="s">
        <v>133</v>
      </c>
      <c r="G2142" t="s">
        <v>133</v>
      </c>
      <c r="H2142" t="s">
        <v>133</v>
      </c>
      <c r="K2142" t="s">
        <v>6404</v>
      </c>
      <c r="L2142" t="s">
        <v>135</v>
      </c>
      <c r="M2142" t="s">
        <v>137</v>
      </c>
    </row>
    <row r="2143" spans="1:17" x14ac:dyDescent="0.2">
      <c r="A2143" t="s">
        <v>6408</v>
      </c>
      <c r="B2143" t="s">
        <v>6409</v>
      </c>
      <c r="C2143" t="s">
        <v>6410</v>
      </c>
      <c r="D2143" t="s">
        <v>61</v>
      </c>
      <c r="E2143" t="s">
        <v>133</v>
      </c>
      <c r="F2143" t="s">
        <v>133</v>
      </c>
      <c r="G2143" t="s">
        <v>133</v>
      </c>
      <c r="K2143" t="s">
        <v>6411</v>
      </c>
      <c r="M2143" t="s">
        <v>137</v>
      </c>
    </row>
    <row r="2144" spans="1:17" x14ac:dyDescent="0.2">
      <c r="A2144" t="s">
        <v>6412</v>
      </c>
      <c r="B2144" t="s">
        <v>6413</v>
      </c>
      <c r="C2144" t="s">
        <v>6414</v>
      </c>
      <c r="D2144" t="s">
        <v>61</v>
      </c>
      <c r="E2144" t="s">
        <v>133</v>
      </c>
      <c r="F2144" t="s">
        <v>6385</v>
      </c>
      <c r="G2144" t="s">
        <v>133</v>
      </c>
      <c r="K2144" t="s">
        <v>163</v>
      </c>
      <c r="M2144" t="s">
        <v>137</v>
      </c>
    </row>
    <row r="2145" spans="1:13" x14ac:dyDescent="0.2">
      <c r="A2145" t="s">
        <v>6415</v>
      </c>
      <c r="B2145" t="s">
        <v>6416</v>
      </c>
      <c r="C2145" t="s">
        <v>6417</v>
      </c>
      <c r="D2145" t="s">
        <v>61</v>
      </c>
      <c r="E2145" t="s">
        <v>133</v>
      </c>
      <c r="F2145" t="s">
        <v>6389</v>
      </c>
      <c r="G2145" t="s">
        <v>6390</v>
      </c>
      <c r="K2145" t="s">
        <v>163</v>
      </c>
      <c r="M2145" t="s">
        <v>137</v>
      </c>
    </row>
    <row r="2146" spans="1:13" x14ac:dyDescent="0.2">
      <c r="A2146" t="s">
        <v>6418</v>
      </c>
      <c r="B2146" t="s">
        <v>6419</v>
      </c>
      <c r="C2146" t="s">
        <v>6420</v>
      </c>
      <c r="D2146" t="s">
        <v>61</v>
      </c>
      <c r="E2146" t="s">
        <v>133</v>
      </c>
      <c r="G2146" t="s">
        <v>133</v>
      </c>
      <c r="K2146" t="s">
        <v>6421</v>
      </c>
      <c r="M2146" t="s">
        <v>282</v>
      </c>
    </row>
    <row r="2147" spans="1:13" x14ac:dyDescent="0.2">
      <c r="A2147" t="s">
        <v>6422</v>
      </c>
      <c r="B2147" t="s">
        <v>6423</v>
      </c>
      <c r="C2147" t="s">
        <v>6424</v>
      </c>
      <c r="D2147" t="s">
        <v>61</v>
      </c>
      <c r="E2147" t="s">
        <v>133</v>
      </c>
      <c r="G2147" t="s">
        <v>133</v>
      </c>
      <c r="K2147" t="s">
        <v>835</v>
      </c>
      <c r="M2147" t="s">
        <v>282</v>
      </c>
    </row>
    <row r="2148" spans="1:13" x14ac:dyDescent="0.2">
      <c r="A2148" t="s">
        <v>6425</v>
      </c>
      <c r="B2148" t="s">
        <v>6426</v>
      </c>
      <c r="C2148" t="s">
        <v>6427</v>
      </c>
      <c r="D2148" t="s">
        <v>61</v>
      </c>
      <c r="E2148" t="s">
        <v>133</v>
      </c>
      <c r="G2148" t="s">
        <v>6390</v>
      </c>
      <c r="K2148" t="s">
        <v>835</v>
      </c>
      <c r="M2148" t="s">
        <v>282</v>
      </c>
    </row>
    <row r="2149" spans="1:13" x14ac:dyDescent="0.2">
      <c r="A2149" t="s">
        <v>6428</v>
      </c>
      <c r="B2149" t="s">
        <v>6429</v>
      </c>
      <c r="C2149" t="s">
        <v>6430</v>
      </c>
      <c r="D2149" t="s">
        <v>61</v>
      </c>
      <c r="E2149" t="s">
        <v>133</v>
      </c>
      <c r="F2149" t="s">
        <v>133</v>
      </c>
      <c r="G2149" t="s">
        <v>133</v>
      </c>
      <c r="H2149" t="s">
        <v>133</v>
      </c>
      <c r="K2149" t="s">
        <v>6431</v>
      </c>
      <c r="M2149" t="s">
        <v>282</v>
      </c>
    </row>
    <row r="2150" spans="1:13" x14ac:dyDescent="0.2">
      <c r="A2150" t="s">
        <v>6432</v>
      </c>
      <c r="B2150" t="s">
        <v>6433</v>
      </c>
      <c r="C2150" t="s">
        <v>6434</v>
      </c>
      <c r="D2150" t="s">
        <v>61</v>
      </c>
      <c r="E2150" t="s">
        <v>133</v>
      </c>
      <c r="F2150" t="s">
        <v>6385</v>
      </c>
      <c r="G2150" t="s">
        <v>133</v>
      </c>
      <c r="H2150" t="s">
        <v>133</v>
      </c>
      <c r="K2150" t="s">
        <v>586</v>
      </c>
      <c r="M2150" t="s">
        <v>282</v>
      </c>
    </row>
    <row r="2151" spans="1:13" x14ac:dyDescent="0.2">
      <c r="A2151" t="s">
        <v>6435</v>
      </c>
      <c r="B2151" t="s">
        <v>6436</v>
      </c>
      <c r="C2151" t="s">
        <v>6437</v>
      </c>
      <c r="D2151" t="s">
        <v>61</v>
      </c>
      <c r="E2151" t="s">
        <v>133</v>
      </c>
      <c r="F2151" t="s">
        <v>6389</v>
      </c>
      <c r="G2151" t="s">
        <v>6390</v>
      </c>
      <c r="H2151" t="s">
        <v>133</v>
      </c>
      <c r="K2151" t="s">
        <v>586</v>
      </c>
      <c r="M2151" t="s">
        <v>282</v>
      </c>
    </row>
    <row r="2152" spans="1:13" x14ac:dyDescent="0.2">
      <c r="A2152" t="s">
        <v>6438</v>
      </c>
      <c r="B2152" t="s">
        <v>6439</v>
      </c>
      <c r="C2152" t="s">
        <v>6440</v>
      </c>
      <c r="D2152" t="s">
        <v>61</v>
      </c>
      <c r="E2152" t="s">
        <v>133</v>
      </c>
      <c r="F2152" t="s">
        <v>133</v>
      </c>
      <c r="G2152" t="s">
        <v>133</v>
      </c>
      <c r="H2152" t="s">
        <v>133</v>
      </c>
      <c r="K2152" t="s">
        <v>6441</v>
      </c>
      <c r="M2152" t="s">
        <v>282</v>
      </c>
    </row>
    <row r="2153" spans="1:13" x14ac:dyDescent="0.2">
      <c r="A2153" t="s">
        <v>6442</v>
      </c>
      <c r="B2153" t="s">
        <v>6443</v>
      </c>
      <c r="C2153" t="s">
        <v>6444</v>
      </c>
      <c r="D2153" t="s">
        <v>61</v>
      </c>
      <c r="E2153" t="s">
        <v>133</v>
      </c>
      <c r="F2153" t="s">
        <v>6385</v>
      </c>
      <c r="G2153" t="s">
        <v>133</v>
      </c>
      <c r="H2153" t="s">
        <v>133</v>
      </c>
      <c r="K2153" t="s">
        <v>328</v>
      </c>
      <c r="M2153" t="s">
        <v>282</v>
      </c>
    </row>
    <row r="2154" spans="1:13" x14ac:dyDescent="0.2">
      <c r="A2154" t="s">
        <v>6445</v>
      </c>
      <c r="B2154" t="s">
        <v>6446</v>
      </c>
      <c r="C2154" t="s">
        <v>6447</v>
      </c>
      <c r="D2154" t="s">
        <v>61</v>
      </c>
      <c r="E2154" t="s">
        <v>133</v>
      </c>
      <c r="F2154" t="s">
        <v>6389</v>
      </c>
      <c r="G2154" t="s">
        <v>6390</v>
      </c>
      <c r="H2154" t="s">
        <v>133</v>
      </c>
      <c r="K2154" t="s">
        <v>328</v>
      </c>
      <c r="M2154" t="s">
        <v>282</v>
      </c>
    </row>
    <row r="2155" spans="1:13" x14ac:dyDescent="0.2">
      <c r="A2155" t="s">
        <v>6448</v>
      </c>
      <c r="B2155" t="s">
        <v>6449</v>
      </c>
      <c r="C2155" t="s">
        <v>6450</v>
      </c>
      <c r="D2155" t="s">
        <v>61</v>
      </c>
      <c r="E2155" t="s">
        <v>133</v>
      </c>
      <c r="F2155" t="s">
        <v>133</v>
      </c>
      <c r="G2155" t="s">
        <v>133</v>
      </c>
      <c r="H2155" t="s">
        <v>133</v>
      </c>
      <c r="K2155" t="s">
        <v>6451</v>
      </c>
      <c r="M2155" t="s">
        <v>137</v>
      </c>
    </row>
    <row r="2156" spans="1:13" x14ac:dyDescent="0.2">
      <c r="A2156" t="s">
        <v>6452</v>
      </c>
      <c r="B2156" t="s">
        <v>6453</v>
      </c>
      <c r="C2156" t="s">
        <v>6454</v>
      </c>
      <c r="D2156" t="s">
        <v>61</v>
      </c>
      <c r="E2156" t="s">
        <v>133</v>
      </c>
      <c r="F2156" t="s">
        <v>6455</v>
      </c>
      <c r="G2156" t="s">
        <v>133</v>
      </c>
      <c r="H2156" t="s">
        <v>6456</v>
      </c>
      <c r="K2156" t="s">
        <v>6407</v>
      </c>
      <c r="M2156" t="s">
        <v>137</v>
      </c>
    </row>
    <row r="2157" spans="1:13" x14ac:dyDescent="0.2">
      <c r="A2157" t="s">
        <v>6457</v>
      </c>
      <c r="B2157" t="s">
        <v>6458</v>
      </c>
      <c r="C2157" t="s">
        <v>6459</v>
      </c>
      <c r="D2157" t="s">
        <v>61</v>
      </c>
      <c r="E2157" t="s">
        <v>133</v>
      </c>
      <c r="F2157" t="s">
        <v>133</v>
      </c>
      <c r="G2157" t="s">
        <v>133</v>
      </c>
      <c r="H2157" t="s">
        <v>6460</v>
      </c>
      <c r="K2157" t="s">
        <v>6407</v>
      </c>
      <c r="M2157" t="s">
        <v>137</v>
      </c>
    </row>
    <row r="2158" spans="1:13" x14ac:dyDescent="0.2">
      <c r="A2158" t="s">
        <v>6461</v>
      </c>
      <c r="B2158" t="s">
        <v>6462</v>
      </c>
      <c r="C2158" t="s">
        <v>6463</v>
      </c>
      <c r="D2158" t="s">
        <v>61</v>
      </c>
      <c r="E2158" t="s">
        <v>133</v>
      </c>
      <c r="F2158" t="s">
        <v>133</v>
      </c>
      <c r="G2158" t="s">
        <v>133</v>
      </c>
      <c r="H2158" t="s">
        <v>133</v>
      </c>
      <c r="K2158" t="s">
        <v>6464</v>
      </c>
      <c r="M2158" t="s">
        <v>137</v>
      </c>
    </row>
    <row r="2159" spans="1:13" x14ac:dyDescent="0.2">
      <c r="A2159" t="s">
        <v>6465</v>
      </c>
      <c r="B2159" t="s">
        <v>6466</v>
      </c>
      <c r="C2159" t="s">
        <v>6467</v>
      </c>
      <c r="D2159" t="s">
        <v>61</v>
      </c>
      <c r="E2159" t="s">
        <v>133</v>
      </c>
      <c r="F2159" t="s">
        <v>6455</v>
      </c>
      <c r="G2159" t="s">
        <v>133</v>
      </c>
      <c r="H2159" t="s">
        <v>6456</v>
      </c>
      <c r="K2159" t="s">
        <v>241</v>
      </c>
      <c r="M2159" t="s">
        <v>137</v>
      </c>
    </row>
    <row r="2160" spans="1:13" x14ac:dyDescent="0.2">
      <c r="A2160" t="s">
        <v>6468</v>
      </c>
      <c r="B2160" t="s">
        <v>6469</v>
      </c>
      <c r="C2160" t="s">
        <v>6470</v>
      </c>
      <c r="D2160" t="s">
        <v>61</v>
      </c>
      <c r="E2160" t="s">
        <v>133</v>
      </c>
      <c r="F2160" t="s">
        <v>133</v>
      </c>
      <c r="G2160" t="s">
        <v>133</v>
      </c>
      <c r="H2160" t="s">
        <v>6460</v>
      </c>
      <c r="K2160" t="s">
        <v>241</v>
      </c>
      <c r="M2160" t="s">
        <v>137</v>
      </c>
    </row>
    <row r="2161" spans="1:13" x14ac:dyDescent="0.2">
      <c r="A2161" t="s">
        <v>6471</v>
      </c>
      <c r="B2161" t="s">
        <v>6472</v>
      </c>
      <c r="C2161" t="s">
        <v>6473</v>
      </c>
      <c r="D2161" t="s">
        <v>61</v>
      </c>
      <c r="E2161" t="s">
        <v>133</v>
      </c>
      <c r="F2161" t="s">
        <v>133</v>
      </c>
      <c r="G2161" t="s">
        <v>133</v>
      </c>
      <c r="H2161" t="s">
        <v>133</v>
      </c>
      <c r="K2161" t="s">
        <v>6474</v>
      </c>
      <c r="M2161" t="s">
        <v>137</v>
      </c>
    </row>
    <row r="2162" spans="1:13" x14ac:dyDescent="0.2">
      <c r="A2162" t="s">
        <v>6475</v>
      </c>
      <c r="B2162" t="s">
        <v>6476</v>
      </c>
      <c r="C2162" t="s">
        <v>6477</v>
      </c>
      <c r="D2162" t="s">
        <v>61</v>
      </c>
      <c r="E2162" t="s">
        <v>133</v>
      </c>
      <c r="F2162" t="s">
        <v>6455</v>
      </c>
      <c r="G2162" t="s">
        <v>133</v>
      </c>
      <c r="H2162" t="s">
        <v>6456</v>
      </c>
      <c r="K2162" t="s">
        <v>236</v>
      </c>
      <c r="M2162" t="s">
        <v>137</v>
      </c>
    </row>
    <row r="2163" spans="1:13" x14ac:dyDescent="0.2">
      <c r="A2163" t="s">
        <v>6478</v>
      </c>
      <c r="B2163" t="s">
        <v>6479</v>
      </c>
      <c r="C2163" t="s">
        <v>6480</v>
      </c>
      <c r="D2163" t="s">
        <v>61</v>
      </c>
      <c r="E2163" t="s">
        <v>133</v>
      </c>
      <c r="F2163" t="s">
        <v>133</v>
      </c>
      <c r="G2163" t="s">
        <v>133</v>
      </c>
      <c r="H2163" t="s">
        <v>6460</v>
      </c>
      <c r="K2163" t="s">
        <v>236</v>
      </c>
      <c r="M2163" t="s">
        <v>137</v>
      </c>
    </row>
    <row r="2164" spans="1:13" x14ac:dyDescent="0.2">
      <c r="A2164" t="s">
        <v>6481</v>
      </c>
      <c r="B2164" t="s">
        <v>6482</v>
      </c>
      <c r="C2164" t="s">
        <v>6483</v>
      </c>
      <c r="D2164" t="s">
        <v>61</v>
      </c>
      <c r="E2164" t="s">
        <v>133</v>
      </c>
      <c r="F2164" t="s">
        <v>133</v>
      </c>
      <c r="G2164" t="s">
        <v>133</v>
      </c>
      <c r="H2164" t="s">
        <v>133</v>
      </c>
      <c r="K2164" t="s">
        <v>6484</v>
      </c>
      <c r="M2164" t="s">
        <v>137</v>
      </c>
    </row>
    <row r="2165" spans="1:13" x14ac:dyDescent="0.2">
      <c r="A2165" t="s">
        <v>6485</v>
      </c>
      <c r="B2165" t="s">
        <v>6486</v>
      </c>
      <c r="C2165" t="s">
        <v>6487</v>
      </c>
      <c r="D2165" t="s">
        <v>61</v>
      </c>
      <c r="E2165" t="s">
        <v>133</v>
      </c>
      <c r="F2165" t="s">
        <v>6455</v>
      </c>
      <c r="G2165" t="s">
        <v>133</v>
      </c>
      <c r="H2165" t="s">
        <v>6456</v>
      </c>
      <c r="K2165" t="s">
        <v>6310</v>
      </c>
      <c r="M2165" t="s">
        <v>137</v>
      </c>
    </row>
    <row r="2166" spans="1:13" x14ac:dyDescent="0.2">
      <c r="A2166" t="s">
        <v>6488</v>
      </c>
      <c r="B2166" t="s">
        <v>6489</v>
      </c>
      <c r="C2166" t="s">
        <v>6490</v>
      </c>
      <c r="D2166" t="s">
        <v>61</v>
      </c>
      <c r="E2166" t="s">
        <v>133</v>
      </c>
      <c r="F2166" t="s">
        <v>133</v>
      </c>
      <c r="G2166" t="s">
        <v>133</v>
      </c>
      <c r="H2166" t="s">
        <v>6460</v>
      </c>
      <c r="K2166" t="s">
        <v>6310</v>
      </c>
      <c r="M2166" t="s">
        <v>137</v>
      </c>
    </row>
    <row r="2167" spans="1:13" x14ac:dyDescent="0.2">
      <c r="A2167" t="s">
        <v>6491</v>
      </c>
      <c r="B2167" t="s">
        <v>6492</v>
      </c>
      <c r="C2167" t="s">
        <v>6493</v>
      </c>
      <c r="D2167" t="s">
        <v>61</v>
      </c>
      <c r="E2167" t="s">
        <v>133</v>
      </c>
      <c r="F2167" t="s">
        <v>133</v>
      </c>
      <c r="G2167" t="s">
        <v>133</v>
      </c>
      <c r="H2167" t="s">
        <v>133</v>
      </c>
      <c r="K2167" t="s">
        <v>6494</v>
      </c>
      <c r="M2167" t="s">
        <v>137</v>
      </c>
    </row>
    <row r="2168" spans="1:13" x14ac:dyDescent="0.2">
      <c r="A2168" t="s">
        <v>6495</v>
      </c>
      <c r="B2168" t="s">
        <v>6496</v>
      </c>
      <c r="C2168" t="s">
        <v>6497</v>
      </c>
      <c r="D2168" t="s">
        <v>61</v>
      </c>
      <c r="E2168" t="s">
        <v>133</v>
      </c>
      <c r="F2168" t="s">
        <v>6455</v>
      </c>
      <c r="G2168" t="s">
        <v>133</v>
      </c>
      <c r="H2168" t="s">
        <v>6456</v>
      </c>
      <c r="K2168" t="s">
        <v>380</v>
      </c>
      <c r="L2168" t="s">
        <v>135</v>
      </c>
      <c r="M2168" t="s">
        <v>137</v>
      </c>
    </row>
    <row r="2169" spans="1:13" x14ac:dyDescent="0.2">
      <c r="A2169" t="s">
        <v>6498</v>
      </c>
      <c r="B2169" t="s">
        <v>6499</v>
      </c>
      <c r="C2169" t="s">
        <v>6500</v>
      </c>
      <c r="D2169" t="s">
        <v>61</v>
      </c>
      <c r="E2169" t="s">
        <v>133</v>
      </c>
      <c r="F2169" t="s">
        <v>133</v>
      </c>
      <c r="G2169" t="s">
        <v>133</v>
      </c>
      <c r="H2169" t="s">
        <v>6460</v>
      </c>
      <c r="K2169" t="s">
        <v>380</v>
      </c>
      <c r="L2169" t="s">
        <v>135</v>
      </c>
      <c r="M2169" t="s">
        <v>137</v>
      </c>
    </row>
    <row r="2170" spans="1:13" x14ac:dyDescent="0.2">
      <c r="A2170" t="s">
        <v>6501</v>
      </c>
      <c r="B2170" t="s">
        <v>6502</v>
      </c>
      <c r="C2170" t="s">
        <v>6503</v>
      </c>
      <c r="D2170" t="s">
        <v>61</v>
      </c>
      <c r="E2170" t="s">
        <v>133</v>
      </c>
      <c r="F2170" t="s">
        <v>133</v>
      </c>
      <c r="G2170" t="s">
        <v>133</v>
      </c>
      <c r="H2170" t="s">
        <v>133</v>
      </c>
      <c r="K2170" t="s">
        <v>6504</v>
      </c>
      <c r="M2170" t="s">
        <v>137</v>
      </c>
    </row>
    <row r="2171" spans="1:13" x14ac:dyDescent="0.2">
      <c r="A2171" t="s">
        <v>6505</v>
      </c>
      <c r="B2171" t="s">
        <v>6506</v>
      </c>
      <c r="C2171" t="s">
        <v>6507</v>
      </c>
      <c r="D2171" t="s">
        <v>61</v>
      </c>
      <c r="E2171" t="s">
        <v>133</v>
      </c>
      <c r="F2171" t="s">
        <v>6455</v>
      </c>
      <c r="G2171" t="s">
        <v>133</v>
      </c>
      <c r="H2171" t="s">
        <v>6456</v>
      </c>
      <c r="K2171" t="s">
        <v>6314</v>
      </c>
      <c r="M2171" t="s">
        <v>137</v>
      </c>
    </row>
    <row r="2172" spans="1:13" x14ac:dyDescent="0.2">
      <c r="A2172" t="s">
        <v>6508</v>
      </c>
      <c r="B2172" t="s">
        <v>6509</v>
      </c>
      <c r="C2172" t="s">
        <v>6510</v>
      </c>
      <c r="D2172" t="s">
        <v>61</v>
      </c>
      <c r="E2172" t="s">
        <v>133</v>
      </c>
      <c r="F2172" t="s">
        <v>133</v>
      </c>
      <c r="G2172" t="s">
        <v>133</v>
      </c>
      <c r="H2172" t="s">
        <v>6460</v>
      </c>
      <c r="K2172" t="s">
        <v>6314</v>
      </c>
      <c r="M2172" t="s">
        <v>137</v>
      </c>
    </row>
    <row r="2173" spans="1:13" x14ac:dyDescent="0.2">
      <c r="A2173" t="s">
        <v>6511</v>
      </c>
      <c r="B2173" t="s">
        <v>6512</v>
      </c>
      <c r="C2173" t="s">
        <v>6513</v>
      </c>
      <c r="D2173" t="s">
        <v>61</v>
      </c>
      <c r="E2173" t="s">
        <v>133</v>
      </c>
      <c r="F2173" t="s">
        <v>133</v>
      </c>
      <c r="G2173" t="s">
        <v>133</v>
      </c>
      <c r="H2173" t="s">
        <v>133</v>
      </c>
      <c r="K2173" t="s">
        <v>6514</v>
      </c>
      <c r="M2173" t="s">
        <v>137</v>
      </c>
    </row>
    <row r="2174" spans="1:13" x14ac:dyDescent="0.2">
      <c r="A2174" t="s">
        <v>6515</v>
      </c>
      <c r="B2174" t="s">
        <v>6516</v>
      </c>
      <c r="C2174" t="s">
        <v>6517</v>
      </c>
      <c r="D2174" t="s">
        <v>61</v>
      </c>
      <c r="E2174" t="s">
        <v>133</v>
      </c>
      <c r="F2174" t="s">
        <v>6455</v>
      </c>
      <c r="G2174" t="s">
        <v>133</v>
      </c>
      <c r="H2174" t="s">
        <v>6456</v>
      </c>
      <c r="K2174" t="s">
        <v>1696</v>
      </c>
      <c r="L2174" t="s">
        <v>135</v>
      </c>
      <c r="M2174" t="s">
        <v>137</v>
      </c>
    </row>
    <row r="2175" spans="1:13" x14ac:dyDescent="0.2">
      <c r="A2175" t="s">
        <v>6518</v>
      </c>
      <c r="B2175" t="s">
        <v>6519</v>
      </c>
      <c r="C2175" t="s">
        <v>6520</v>
      </c>
      <c r="D2175" t="s">
        <v>61</v>
      </c>
      <c r="E2175" t="s">
        <v>133</v>
      </c>
      <c r="F2175" t="s">
        <v>133</v>
      </c>
      <c r="G2175" t="s">
        <v>133</v>
      </c>
      <c r="H2175" t="s">
        <v>6460</v>
      </c>
      <c r="K2175" t="s">
        <v>1696</v>
      </c>
      <c r="L2175" t="s">
        <v>135</v>
      </c>
      <c r="M2175" t="s">
        <v>137</v>
      </c>
    </row>
    <row r="2176" spans="1:13" x14ac:dyDescent="0.2">
      <c r="A2176" t="s">
        <v>6521</v>
      </c>
      <c r="B2176" t="s">
        <v>6522</v>
      </c>
      <c r="C2176" t="s">
        <v>6523</v>
      </c>
      <c r="D2176" t="s">
        <v>61</v>
      </c>
      <c r="E2176" t="s">
        <v>133</v>
      </c>
      <c r="F2176" t="s">
        <v>133</v>
      </c>
      <c r="G2176" t="s">
        <v>133</v>
      </c>
      <c r="H2176" t="s">
        <v>133</v>
      </c>
      <c r="K2176" t="s">
        <v>6524</v>
      </c>
      <c r="M2176" t="s">
        <v>137</v>
      </c>
    </row>
    <row r="2177" spans="1:20" x14ac:dyDescent="0.2">
      <c r="A2177" t="s">
        <v>6525</v>
      </c>
      <c r="B2177" t="s">
        <v>6526</v>
      </c>
      <c r="C2177" t="s">
        <v>6527</v>
      </c>
      <c r="D2177" t="s">
        <v>61</v>
      </c>
      <c r="E2177" t="s">
        <v>133</v>
      </c>
      <c r="F2177" t="s">
        <v>6455</v>
      </c>
      <c r="G2177" t="s">
        <v>133</v>
      </c>
      <c r="H2177" t="s">
        <v>6456</v>
      </c>
      <c r="K2177" t="s">
        <v>6528</v>
      </c>
      <c r="M2177" t="s">
        <v>137</v>
      </c>
    </row>
    <row r="2178" spans="1:20" x14ac:dyDescent="0.2">
      <c r="A2178" t="s">
        <v>6529</v>
      </c>
      <c r="B2178" t="s">
        <v>6530</v>
      </c>
      <c r="C2178" t="s">
        <v>6531</v>
      </c>
      <c r="D2178" t="s">
        <v>61</v>
      </c>
      <c r="E2178" t="s">
        <v>133</v>
      </c>
      <c r="F2178" t="s">
        <v>133</v>
      </c>
      <c r="G2178" t="s">
        <v>133</v>
      </c>
      <c r="H2178" t="s">
        <v>6460</v>
      </c>
      <c r="K2178" t="s">
        <v>6528</v>
      </c>
      <c r="M2178" t="s">
        <v>137</v>
      </c>
    </row>
    <row r="2179" spans="1:20" x14ac:dyDescent="0.2">
      <c r="A2179" t="s">
        <v>6532</v>
      </c>
      <c r="B2179" t="s">
        <v>6533</v>
      </c>
      <c r="C2179" t="s">
        <v>6534</v>
      </c>
      <c r="D2179" t="s">
        <v>61</v>
      </c>
      <c r="E2179" t="s">
        <v>133</v>
      </c>
      <c r="F2179" t="s">
        <v>133</v>
      </c>
      <c r="G2179" t="s">
        <v>133</v>
      </c>
      <c r="H2179" t="s">
        <v>133</v>
      </c>
      <c r="K2179" t="s">
        <v>6535</v>
      </c>
      <c r="M2179" t="s">
        <v>137</v>
      </c>
    </row>
    <row r="2180" spans="1:20" x14ac:dyDescent="0.2">
      <c r="A2180" t="s">
        <v>6536</v>
      </c>
      <c r="B2180" t="s">
        <v>6537</v>
      </c>
      <c r="C2180" t="s">
        <v>6538</v>
      </c>
      <c r="D2180" t="s">
        <v>61</v>
      </c>
      <c r="E2180" t="s">
        <v>133</v>
      </c>
      <c r="F2180" t="s">
        <v>6455</v>
      </c>
      <c r="G2180" t="s">
        <v>133</v>
      </c>
      <c r="H2180" t="s">
        <v>6456</v>
      </c>
      <c r="K2180" t="s">
        <v>6318</v>
      </c>
      <c r="M2180" t="s">
        <v>137</v>
      </c>
    </row>
    <row r="2181" spans="1:20" x14ac:dyDescent="0.2">
      <c r="A2181" t="s">
        <v>6539</v>
      </c>
      <c r="B2181" t="s">
        <v>6540</v>
      </c>
      <c r="C2181" t="s">
        <v>6541</v>
      </c>
      <c r="D2181" t="s">
        <v>61</v>
      </c>
      <c r="E2181" t="s">
        <v>133</v>
      </c>
      <c r="F2181" t="s">
        <v>133</v>
      </c>
      <c r="G2181" t="s">
        <v>133</v>
      </c>
      <c r="H2181" t="s">
        <v>6460</v>
      </c>
      <c r="K2181" t="s">
        <v>6318</v>
      </c>
      <c r="M2181" t="s">
        <v>137</v>
      </c>
    </row>
    <row r="2182" spans="1:20" x14ac:dyDescent="0.2">
      <c r="A2182" t="s">
        <v>6542</v>
      </c>
      <c r="B2182" t="s">
        <v>6543</v>
      </c>
      <c r="C2182" t="s">
        <v>6544</v>
      </c>
      <c r="D2182" t="s">
        <v>61</v>
      </c>
      <c r="E2182" t="s">
        <v>133</v>
      </c>
      <c r="F2182" t="s">
        <v>133</v>
      </c>
      <c r="G2182" t="s">
        <v>133</v>
      </c>
      <c r="H2182" t="s">
        <v>133</v>
      </c>
      <c r="I2182" t="s">
        <v>133</v>
      </c>
      <c r="K2182" t="s">
        <v>6545</v>
      </c>
      <c r="M2182" t="s">
        <v>282</v>
      </c>
    </row>
    <row r="2183" spans="1:20" x14ac:dyDescent="0.2">
      <c r="A2183" t="s">
        <v>999</v>
      </c>
      <c r="B2183" t="s">
        <v>1000</v>
      </c>
      <c r="C2183" t="s">
        <v>1001</v>
      </c>
      <c r="D2183" t="s">
        <v>35</v>
      </c>
      <c r="E2183" t="s">
        <v>505</v>
      </c>
      <c r="F2183" t="s">
        <v>133</v>
      </c>
      <c r="G2183" t="s">
        <v>1688</v>
      </c>
      <c r="H2183" t="s">
        <v>133</v>
      </c>
      <c r="M2183" t="s">
        <v>282</v>
      </c>
      <c r="O2183" t="s">
        <v>161</v>
      </c>
      <c r="S2183" t="s">
        <v>1690</v>
      </c>
      <c r="T2183" t="s">
        <v>265</v>
      </c>
    </row>
    <row r="2184" spans="1:20" x14ac:dyDescent="0.2">
      <c r="A2184" t="s">
        <v>999</v>
      </c>
      <c r="B2184" t="s">
        <v>1000</v>
      </c>
      <c r="C2184" t="s">
        <v>1001</v>
      </c>
      <c r="D2184" t="s">
        <v>61</v>
      </c>
      <c r="E2184" t="s">
        <v>255</v>
      </c>
      <c r="F2184" t="s">
        <v>133</v>
      </c>
      <c r="G2184" t="s">
        <v>1688</v>
      </c>
      <c r="H2184" t="s">
        <v>133</v>
      </c>
      <c r="K2184" t="s">
        <v>289</v>
      </c>
      <c r="M2184" t="s">
        <v>282</v>
      </c>
      <c r="O2184" t="s">
        <v>161</v>
      </c>
    </row>
    <row r="2185" spans="1:20" x14ac:dyDescent="0.2">
      <c r="A2185" t="s">
        <v>1006</v>
      </c>
      <c r="B2185" t="s">
        <v>1007</v>
      </c>
      <c r="C2185" t="s">
        <v>1008</v>
      </c>
      <c r="D2185" t="s">
        <v>35</v>
      </c>
      <c r="E2185" t="s">
        <v>505</v>
      </c>
      <c r="F2185" t="s">
        <v>133</v>
      </c>
      <c r="G2185" t="s">
        <v>1688</v>
      </c>
      <c r="H2185" t="s">
        <v>133</v>
      </c>
      <c r="M2185" t="s">
        <v>282</v>
      </c>
      <c r="O2185" t="s">
        <v>161</v>
      </c>
      <c r="S2185" t="s">
        <v>1690</v>
      </c>
      <c r="T2185" t="s">
        <v>265</v>
      </c>
    </row>
    <row r="2186" spans="1:20" x14ac:dyDescent="0.2">
      <c r="A2186" t="s">
        <v>1006</v>
      </c>
      <c r="B2186" t="s">
        <v>1007</v>
      </c>
      <c r="C2186" t="s">
        <v>1008</v>
      </c>
      <c r="D2186" t="s">
        <v>61</v>
      </c>
      <c r="E2186" t="s">
        <v>255</v>
      </c>
      <c r="F2186" t="s">
        <v>133</v>
      </c>
      <c r="G2186" t="s">
        <v>1688</v>
      </c>
      <c r="H2186" t="s">
        <v>133</v>
      </c>
      <c r="K2186" t="s">
        <v>350</v>
      </c>
      <c r="M2186" t="s">
        <v>282</v>
      </c>
      <c r="O2186" t="s">
        <v>161</v>
      </c>
    </row>
    <row r="2187" spans="1:20" x14ac:dyDescent="0.2">
      <c r="A2187" t="s">
        <v>1009</v>
      </c>
      <c r="B2187" t="s">
        <v>1010</v>
      </c>
      <c r="C2187" t="s">
        <v>1011</v>
      </c>
      <c r="D2187" t="s">
        <v>35</v>
      </c>
      <c r="E2187" t="s">
        <v>505</v>
      </c>
      <c r="F2187" t="s">
        <v>133</v>
      </c>
      <c r="G2187" t="s">
        <v>1688</v>
      </c>
      <c r="H2187" t="s">
        <v>133</v>
      </c>
      <c r="M2187" t="s">
        <v>282</v>
      </c>
      <c r="O2187" t="s">
        <v>161</v>
      </c>
      <c r="S2187" t="s">
        <v>1690</v>
      </c>
      <c r="T2187" t="s">
        <v>265</v>
      </c>
    </row>
    <row r="2188" spans="1:20" x14ac:dyDescent="0.2">
      <c r="A2188" t="s">
        <v>1009</v>
      </c>
      <c r="B2188" t="s">
        <v>1010</v>
      </c>
      <c r="C2188" t="s">
        <v>1011</v>
      </c>
      <c r="D2188" t="s">
        <v>61</v>
      </c>
      <c r="E2188" t="s">
        <v>255</v>
      </c>
      <c r="F2188" t="s">
        <v>133</v>
      </c>
      <c r="G2188" t="s">
        <v>1688</v>
      </c>
      <c r="H2188" t="s">
        <v>133</v>
      </c>
      <c r="K2188" t="s">
        <v>305</v>
      </c>
      <c r="M2188" t="s">
        <v>282</v>
      </c>
      <c r="O2188" t="s">
        <v>161</v>
      </c>
    </row>
    <row r="2189" spans="1:20" x14ac:dyDescent="0.2">
      <c r="A2189" t="s">
        <v>1012</v>
      </c>
      <c r="B2189" t="s">
        <v>1013</v>
      </c>
      <c r="C2189" t="s">
        <v>1014</v>
      </c>
      <c r="D2189" t="s">
        <v>35</v>
      </c>
      <c r="E2189" t="s">
        <v>505</v>
      </c>
      <c r="F2189" t="s">
        <v>133</v>
      </c>
      <c r="G2189" t="s">
        <v>1688</v>
      </c>
      <c r="H2189" t="s">
        <v>133</v>
      </c>
      <c r="M2189" t="s">
        <v>282</v>
      </c>
      <c r="O2189" t="s">
        <v>161</v>
      </c>
      <c r="S2189" t="s">
        <v>1690</v>
      </c>
      <c r="T2189" t="s">
        <v>265</v>
      </c>
    </row>
    <row r="2190" spans="1:20" x14ac:dyDescent="0.2">
      <c r="A2190" t="s">
        <v>1012</v>
      </c>
      <c r="B2190" t="s">
        <v>1013</v>
      </c>
      <c r="C2190" t="s">
        <v>1014</v>
      </c>
      <c r="D2190" t="s">
        <v>61</v>
      </c>
      <c r="E2190" t="s">
        <v>255</v>
      </c>
      <c r="F2190" t="s">
        <v>133</v>
      </c>
      <c r="G2190" t="s">
        <v>1688</v>
      </c>
      <c r="H2190" t="s">
        <v>133</v>
      </c>
      <c r="K2190" t="s">
        <v>322</v>
      </c>
      <c r="M2190" t="s">
        <v>282</v>
      </c>
      <c r="O2190" t="s">
        <v>161</v>
      </c>
    </row>
    <row r="2191" spans="1:20" x14ac:dyDescent="0.2">
      <c r="A2191" t="s">
        <v>574</v>
      </c>
      <c r="B2191" t="s">
        <v>575</v>
      </c>
      <c r="C2191" t="s">
        <v>576</v>
      </c>
      <c r="D2191" t="s">
        <v>35</v>
      </c>
      <c r="E2191" t="s">
        <v>133</v>
      </c>
      <c r="F2191" t="s">
        <v>133</v>
      </c>
      <c r="G2191" t="s">
        <v>1688</v>
      </c>
      <c r="H2191" t="s">
        <v>133</v>
      </c>
      <c r="M2191" t="s">
        <v>137</v>
      </c>
      <c r="O2191" t="s">
        <v>161</v>
      </c>
      <c r="S2191" t="s">
        <v>1690</v>
      </c>
      <c r="T2191" t="s">
        <v>265</v>
      </c>
    </row>
    <row r="2192" spans="1:20" x14ac:dyDescent="0.2">
      <c r="A2192" t="s">
        <v>577</v>
      </c>
      <c r="B2192" t="s">
        <v>578</v>
      </c>
      <c r="C2192" t="s">
        <v>579</v>
      </c>
      <c r="D2192" t="s">
        <v>35</v>
      </c>
      <c r="E2192" t="s">
        <v>133</v>
      </c>
      <c r="F2192" t="s">
        <v>133</v>
      </c>
      <c r="G2192" t="s">
        <v>1688</v>
      </c>
      <c r="H2192" t="s">
        <v>133</v>
      </c>
      <c r="M2192" t="s">
        <v>137</v>
      </c>
      <c r="O2192" t="s">
        <v>161</v>
      </c>
      <c r="S2192" t="s">
        <v>1690</v>
      </c>
      <c r="T2192" t="s">
        <v>265</v>
      </c>
    </row>
    <row r="2193" spans="1:20" x14ac:dyDescent="0.2">
      <c r="A2193" t="s">
        <v>658</v>
      </c>
      <c r="B2193" t="s">
        <v>659</v>
      </c>
      <c r="C2193" t="s">
        <v>660</v>
      </c>
      <c r="D2193" t="s">
        <v>35</v>
      </c>
      <c r="E2193" t="s">
        <v>133</v>
      </c>
      <c r="F2193" t="s">
        <v>133</v>
      </c>
      <c r="G2193" t="s">
        <v>1688</v>
      </c>
      <c r="H2193" t="s">
        <v>133</v>
      </c>
      <c r="M2193" t="s">
        <v>282</v>
      </c>
      <c r="O2193" t="s">
        <v>161</v>
      </c>
      <c r="S2193" t="s">
        <v>1690</v>
      </c>
      <c r="T2193" t="s">
        <v>265</v>
      </c>
    </row>
    <row r="2194" spans="1:20" x14ac:dyDescent="0.2">
      <c r="A2194" t="s">
        <v>661</v>
      </c>
      <c r="B2194" t="s">
        <v>662</v>
      </c>
      <c r="C2194" t="s">
        <v>663</v>
      </c>
      <c r="D2194" t="s">
        <v>24</v>
      </c>
      <c r="E2194" t="s">
        <v>133</v>
      </c>
      <c r="F2194" t="s">
        <v>133</v>
      </c>
      <c r="G2194" t="s">
        <v>1688</v>
      </c>
      <c r="H2194" t="s">
        <v>133</v>
      </c>
      <c r="M2194" t="s">
        <v>282</v>
      </c>
      <c r="O2194" t="s">
        <v>161</v>
      </c>
      <c r="S2194" t="s">
        <v>1690</v>
      </c>
      <c r="T2194" t="s">
        <v>265</v>
      </c>
    </row>
    <row r="2195" spans="1:20" x14ac:dyDescent="0.2">
      <c r="A2195" t="s">
        <v>584</v>
      </c>
      <c r="B2195" t="s">
        <v>585</v>
      </c>
      <c r="C2195" t="s">
        <v>586</v>
      </c>
      <c r="D2195" t="s">
        <v>35</v>
      </c>
      <c r="E2195" t="s">
        <v>133</v>
      </c>
      <c r="F2195" t="s">
        <v>133</v>
      </c>
      <c r="G2195" t="s">
        <v>1688</v>
      </c>
      <c r="H2195" t="s">
        <v>133</v>
      </c>
      <c r="M2195" t="s">
        <v>282</v>
      </c>
      <c r="O2195" t="s">
        <v>161</v>
      </c>
      <c r="S2195" t="s">
        <v>1690</v>
      </c>
      <c r="T2195" t="s">
        <v>265</v>
      </c>
    </row>
    <row r="2196" spans="1:20" x14ac:dyDescent="0.2">
      <c r="A2196" t="s">
        <v>587</v>
      </c>
      <c r="B2196" t="s">
        <v>588</v>
      </c>
      <c r="C2196" t="s">
        <v>589</v>
      </c>
      <c r="D2196" t="s">
        <v>35</v>
      </c>
      <c r="E2196" t="s">
        <v>133</v>
      </c>
      <c r="F2196" t="s">
        <v>133</v>
      </c>
      <c r="G2196" t="s">
        <v>1688</v>
      </c>
      <c r="H2196" t="s">
        <v>133</v>
      </c>
      <c r="M2196" t="s">
        <v>282</v>
      </c>
      <c r="O2196" t="s">
        <v>161</v>
      </c>
      <c r="S2196" t="s">
        <v>1690</v>
      </c>
      <c r="T2196" t="s">
        <v>265</v>
      </c>
    </row>
    <row r="2197" spans="1:20" x14ac:dyDescent="0.2">
      <c r="A2197" t="s">
        <v>63</v>
      </c>
      <c r="B2197" t="s">
        <v>64</v>
      </c>
      <c r="C2197" t="s">
        <v>65</v>
      </c>
      <c r="D2197" t="s">
        <v>24</v>
      </c>
      <c r="E2197" t="s">
        <v>133</v>
      </c>
      <c r="F2197" t="s">
        <v>133</v>
      </c>
      <c r="G2197" t="s">
        <v>1688</v>
      </c>
      <c r="H2197" t="s">
        <v>133</v>
      </c>
      <c r="M2197" t="s">
        <v>282</v>
      </c>
      <c r="O2197" t="s">
        <v>161</v>
      </c>
      <c r="S2197" t="s">
        <v>1690</v>
      </c>
      <c r="T2197" t="s">
        <v>265</v>
      </c>
    </row>
    <row r="2198" spans="1:20" x14ac:dyDescent="0.2">
      <c r="A2198" t="s">
        <v>542</v>
      </c>
      <c r="B2198" t="s">
        <v>543</v>
      </c>
      <c r="C2198" t="s">
        <v>544</v>
      </c>
      <c r="D2198" t="s">
        <v>35</v>
      </c>
      <c r="E2198" t="s">
        <v>133</v>
      </c>
      <c r="F2198" t="s">
        <v>133</v>
      </c>
      <c r="G2198" t="s">
        <v>1688</v>
      </c>
      <c r="H2198" t="s">
        <v>133</v>
      </c>
      <c r="M2198" t="s">
        <v>137</v>
      </c>
      <c r="O2198" t="s">
        <v>161</v>
      </c>
      <c r="S2198" t="s">
        <v>1690</v>
      </c>
      <c r="T2198" t="s">
        <v>265</v>
      </c>
    </row>
    <row r="2199" spans="1:20" x14ac:dyDescent="0.2">
      <c r="A2199" t="s">
        <v>608</v>
      </c>
      <c r="B2199" t="s">
        <v>609</v>
      </c>
      <c r="C2199" t="s">
        <v>610</v>
      </c>
      <c r="D2199" t="s">
        <v>35</v>
      </c>
      <c r="E2199" t="s">
        <v>133</v>
      </c>
      <c r="F2199" t="s">
        <v>133</v>
      </c>
      <c r="G2199" t="s">
        <v>1688</v>
      </c>
      <c r="H2199" t="s">
        <v>133</v>
      </c>
      <c r="M2199" t="s">
        <v>137</v>
      </c>
      <c r="O2199" t="s">
        <v>161</v>
      </c>
      <c r="S2199" t="s">
        <v>1690</v>
      </c>
      <c r="T2199" t="s">
        <v>265</v>
      </c>
    </row>
    <row r="2200" spans="1:20" x14ac:dyDescent="0.2">
      <c r="A2200" t="s">
        <v>611</v>
      </c>
      <c r="B2200" t="s">
        <v>612</v>
      </c>
      <c r="C2200" t="s">
        <v>613</v>
      </c>
      <c r="D2200" t="s">
        <v>35</v>
      </c>
      <c r="E2200" t="s">
        <v>133</v>
      </c>
      <c r="F2200" t="s">
        <v>133</v>
      </c>
      <c r="G2200" t="s">
        <v>1688</v>
      </c>
      <c r="H2200" t="s">
        <v>133</v>
      </c>
      <c r="M2200" t="s">
        <v>282</v>
      </c>
      <c r="O2200" t="s">
        <v>161</v>
      </c>
      <c r="S2200" t="s">
        <v>1690</v>
      </c>
      <c r="T2200" t="s">
        <v>265</v>
      </c>
    </row>
    <row r="2201" spans="1:20" x14ac:dyDescent="0.2">
      <c r="A2201" t="s">
        <v>524</v>
      </c>
      <c r="B2201" t="s">
        <v>525</v>
      </c>
      <c r="C2201" t="s">
        <v>526</v>
      </c>
      <c r="D2201" t="s">
        <v>61</v>
      </c>
      <c r="E2201" t="s">
        <v>133</v>
      </c>
      <c r="F2201" t="s">
        <v>133</v>
      </c>
      <c r="G2201" t="s">
        <v>1688</v>
      </c>
      <c r="H2201" t="s">
        <v>133</v>
      </c>
      <c r="K2201" t="s">
        <v>1015</v>
      </c>
      <c r="M2201" t="s">
        <v>137</v>
      </c>
      <c r="O2201" t="s">
        <v>161</v>
      </c>
    </row>
    <row r="2202" spans="1:20" x14ac:dyDescent="0.2">
      <c r="A2202" t="s">
        <v>562</v>
      </c>
      <c r="B2202" t="s">
        <v>563</v>
      </c>
      <c r="C2202" t="s">
        <v>564</v>
      </c>
      <c r="D2202" t="s">
        <v>61</v>
      </c>
      <c r="E2202" t="s">
        <v>133</v>
      </c>
      <c r="F2202" t="s">
        <v>133</v>
      </c>
      <c r="G2202" t="s">
        <v>1688</v>
      </c>
      <c r="H2202" t="s">
        <v>133</v>
      </c>
      <c r="K2202" t="s">
        <v>1014</v>
      </c>
      <c r="M2202" t="s">
        <v>282</v>
      </c>
      <c r="O2202" t="s">
        <v>161</v>
      </c>
    </row>
    <row r="2203" spans="1:20" x14ac:dyDescent="0.2">
      <c r="A2203" t="s">
        <v>1697</v>
      </c>
      <c r="B2203" t="s">
        <v>1698</v>
      </c>
      <c r="C2203" t="s">
        <v>1699</v>
      </c>
      <c r="D2203" t="s">
        <v>35</v>
      </c>
      <c r="E2203" t="s">
        <v>505</v>
      </c>
      <c r="F2203" t="s">
        <v>1700</v>
      </c>
      <c r="G2203" t="s">
        <v>1701</v>
      </c>
      <c r="H2203" t="s">
        <v>133</v>
      </c>
      <c r="M2203" t="s">
        <v>137</v>
      </c>
      <c r="O2203" t="s">
        <v>161</v>
      </c>
      <c r="S2203" t="s">
        <v>1702</v>
      </c>
      <c r="T2203" t="s">
        <v>265</v>
      </c>
    </row>
    <row r="2204" spans="1:20" x14ac:dyDescent="0.2">
      <c r="A2204" t="s">
        <v>1697</v>
      </c>
      <c r="B2204" t="s">
        <v>1698</v>
      </c>
      <c r="C2204" t="s">
        <v>1699</v>
      </c>
      <c r="D2204" t="s">
        <v>61</v>
      </c>
      <c r="E2204" t="s">
        <v>255</v>
      </c>
      <c r="F2204" t="s">
        <v>1700</v>
      </c>
      <c r="G2204" t="s">
        <v>1701</v>
      </c>
      <c r="H2204" t="s">
        <v>133</v>
      </c>
      <c r="K2204" t="s">
        <v>259</v>
      </c>
      <c r="M2204" t="s">
        <v>137</v>
      </c>
      <c r="O2204" t="s">
        <v>161</v>
      </c>
    </row>
    <row r="2205" spans="1:20" x14ac:dyDescent="0.2">
      <c r="A2205" t="s">
        <v>999</v>
      </c>
      <c r="B2205" t="s">
        <v>1000</v>
      </c>
      <c r="C2205" t="s">
        <v>1001</v>
      </c>
      <c r="D2205" t="s">
        <v>35</v>
      </c>
      <c r="E2205" t="s">
        <v>505</v>
      </c>
      <c r="F2205" t="s">
        <v>1700</v>
      </c>
      <c r="G2205" t="s">
        <v>133</v>
      </c>
      <c r="H2205" t="s">
        <v>133</v>
      </c>
      <c r="M2205" t="s">
        <v>282</v>
      </c>
      <c r="O2205" t="s">
        <v>161</v>
      </c>
      <c r="S2205" t="s">
        <v>1702</v>
      </c>
      <c r="T2205" t="s">
        <v>265</v>
      </c>
    </row>
    <row r="2206" spans="1:20" x14ac:dyDescent="0.2">
      <c r="A2206" t="s">
        <v>999</v>
      </c>
      <c r="B2206" t="s">
        <v>1000</v>
      </c>
      <c r="C2206" t="s">
        <v>1001</v>
      </c>
      <c r="D2206" t="s">
        <v>61</v>
      </c>
      <c r="E2206" t="s">
        <v>255</v>
      </c>
      <c r="F2206" t="s">
        <v>1700</v>
      </c>
      <c r="G2206" t="s">
        <v>133</v>
      </c>
      <c r="H2206" t="s">
        <v>133</v>
      </c>
      <c r="K2206" t="s">
        <v>289</v>
      </c>
      <c r="M2206" t="s">
        <v>282</v>
      </c>
      <c r="O2206" t="s">
        <v>161</v>
      </c>
    </row>
    <row r="2207" spans="1:20" x14ac:dyDescent="0.2">
      <c r="A2207" t="s">
        <v>1006</v>
      </c>
      <c r="B2207" t="s">
        <v>1007</v>
      </c>
      <c r="C2207" t="s">
        <v>1008</v>
      </c>
      <c r="D2207" t="s">
        <v>35</v>
      </c>
      <c r="E2207" t="s">
        <v>505</v>
      </c>
      <c r="F2207" t="s">
        <v>1700</v>
      </c>
      <c r="G2207" t="s">
        <v>133</v>
      </c>
      <c r="H2207" t="s">
        <v>133</v>
      </c>
      <c r="M2207" t="s">
        <v>282</v>
      </c>
      <c r="O2207" t="s">
        <v>161</v>
      </c>
      <c r="S2207" t="s">
        <v>1702</v>
      </c>
      <c r="T2207" t="s">
        <v>265</v>
      </c>
    </row>
    <row r="2208" spans="1:20" x14ac:dyDescent="0.2">
      <c r="A2208" t="s">
        <v>1006</v>
      </c>
      <c r="B2208" t="s">
        <v>1007</v>
      </c>
      <c r="C2208" t="s">
        <v>1008</v>
      </c>
      <c r="D2208" t="s">
        <v>61</v>
      </c>
      <c r="E2208" t="s">
        <v>255</v>
      </c>
      <c r="F2208" t="s">
        <v>1700</v>
      </c>
      <c r="G2208" t="s">
        <v>133</v>
      </c>
      <c r="H2208" t="s">
        <v>133</v>
      </c>
      <c r="K2208" t="s">
        <v>350</v>
      </c>
      <c r="M2208" t="s">
        <v>282</v>
      </c>
      <c r="O2208" t="s">
        <v>161</v>
      </c>
    </row>
    <row r="2209" spans="1:20" x14ac:dyDescent="0.2">
      <c r="A2209" t="s">
        <v>1009</v>
      </c>
      <c r="B2209" t="s">
        <v>1010</v>
      </c>
      <c r="C2209" t="s">
        <v>1011</v>
      </c>
      <c r="D2209" t="s">
        <v>35</v>
      </c>
      <c r="E2209" t="s">
        <v>505</v>
      </c>
      <c r="F2209" t="s">
        <v>1700</v>
      </c>
      <c r="G2209" t="s">
        <v>133</v>
      </c>
      <c r="H2209" t="s">
        <v>133</v>
      </c>
      <c r="M2209" t="s">
        <v>282</v>
      </c>
      <c r="O2209" t="s">
        <v>161</v>
      </c>
      <c r="S2209" t="s">
        <v>1702</v>
      </c>
      <c r="T2209" t="s">
        <v>265</v>
      </c>
    </row>
    <row r="2210" spans="1:20" x14ac:dyDescent="0.2">
      <c r="A2210" t="s">
        <v>1009</v>
      </c>
      <c r="B2210" t="s">
        <v>1010</v>
      </c>
      <c r="C2210" t="s">
        <v>1011</v>
      </c>
      <c r="D2210" t="s">
        <v>61</v>
      </c>
      <c r="E2210" t="s">
        <v>255</v>
      </c>
      <c r="F2210" t="s">
        <v>1700</v>
      </c>
      <c r="G2210" t="s">
        <v>133</v>
      </c>
      <c r="H2210" t="s">
        <v>133</v>
      </c>
      <c r="K2210" t="s">
        <v>305</v>
      </c>
      <c r="M2210" t="s">
        <v>282</v>
      </c>
      <c r="O2210" t="s">
        <v>161</v>
      </c>
    </row>
    <row r="2211" spans="1:20" x14ac:dyDescent="0.2">
      <c r="A2211" t="s">
        <v>1012</v>
      </c>
      <c r="B2211" t="s">
        <v>1013</v>
      </c>
      <c r="C2211" t="s">
        <v>1014</v>
      </c>
      <c r="D2211" t="s">
        <v>35</v>
      </c>
      <c r="E2211" t="s">
        <v>505</v>
      </c>
      <c r="F2211" t="s">
        <v>1700</v>
      </c>
      <c r="G2211" t="s">
        <v>133</v>
      </c>
      <c r="H2211" t="s">
        <v>133</v>
      </c>
      <c r="M2211" t="s">
        <v>282</v>
      </c>
      <c r="O2211" t="s">
        <v>161</v>
      </c>
      <c r="S2211" t="s">
        <v>1702</v>
      </c>
      <c r="T2211" t="s">
        <v>265</v>
      </c>
    </row>
    <row r="2212" spans="1:20" x14ac:dyDescent="0.2">
      <c r="A2212" t="s">
        <v>1012</v>
      </c>
      <c r="B2212" t="s">
        <v>1013</v>
      </c>
      <c r="C2212" t="s">
        <v>1014</v>
      </c>
      <c r="D2212" t="s">
        <v>61</v>
      </c>
      <c r="E2212" t="s">
        <v>255</v>
      </c>
      <c r="F2212" t="s">
        <v>1700</v>
      </c>
      <c r="G2212" t="s">
        <v>133</v>
      </c>
      <c r="H2212" t="s">
        <v>133</v>
      </c>
      <c r="K2212" t="s">
        <v>322</v>
      </c>
      <c r="M2212" t="s">
        <v>282</v>
      </c>
      <c r="O2212" t="s">
        <v>161</v>
      </c>
    </row>
    <row r="2213" spans="1:20" x14ac:dyDescent="0.2">
      <c r="A2213" t="s">
        <v>574</v>
      </c>
      <c r="B2213" t="s">
        <v>575</v>
      </c>
      <c r="C2213" t="s">
        <v>576</v>
      </c>
      <c r="D2213" t="s">
        <v>35</v>
      </c>
      <c r="E2213" t="s">
        <v>133</v>
      </c>
      <c r="F2213" t="s">
        <v>1700</v>
      </c>
      <c r="G2213" t="s">
        <v>133</v>
      </c>
      <c r="H2213" t="s">
        <v>133</v>
      </c>
      <c r="M2213" t="s">
        <v>137</v>
      </c>
      <c r="O2213" t="s">
        <v>161</v>
      </c>
      <c r="S2213" t="s">
        <v>1702</v>
      </c>
      <c r="T2213" t="s">
        <v>265</v>
      </c>
    </row>
    <row r="2214" spans="1:20" x14ac:dyDescent="0.2">
      <c r="A2214" t="s">
        <v>577</v>
      </c>
      <c r="B2214" t="s">
        <v>578</v>
      </c>
      <c r="C2214" t="s">
        <v>579</v>
      </c>
      <c r="D2214" t="s">
        <v>35</v>
      </c>
      <c r="E2214" t="s">
        <v>133</v>
      </c>
      <c r="F2214" t="s">
        <v>1700</v>
      </c>
      <c r="G2214" t="s">
        <v>133</v>
      </c>
      <c r="H2214" t="s">
        <v>133</v>
      </c>
      <c r="M2214" t="s">
        <v>137</v>
      </c>
      <c r="O2214" t="s">
        <v>161</v>
      </c>
      <c r="S2214" t="s">
        <v>1702</v>
      </c>
      <c r="T2214" t="s">
        <v>265</v>
      </c>
    </row>
    <row r="2215" spans="1:20" x14ac:dyDescent="0.2">
      <c r="A2215" t="s">
        <v>658</v>
      </c>
      <c r="B2215" t="s">
        <v>659</v>
      </c>
      <c r="C2215" t="s">
        <v>660</v>
      </c>
      <c r="D2215" t="s">
        <v>35</v>
      </c>
      <c r="E2215" t="s">
        <v>133</v>
      </c>
      <c r="F2215" t="s">
        <v>1700</v>
      </c>
      <c r="G2215" t="s">
        <v>133</v>
      </c>
      <c r="H2215" t="s">
        <v>133</v>
      </c>
      <c r="M2215" t="s">
        <v>282</v>
      </c>
      <c r="O2215" t="s">
        <v>161</v>
      </c>
      <c r="S2215" t="s">
        <v>1702</v>
      </c>
      <c r="T2215" t="s">
        <v>265</v>
      </c>
    </row>
    <row r="2216" spans="1:20" x14ac:dyDescent="0.2">
      <c r="A2216" t="s">
        <v>661</v>
      </c>
      <c r="B2216" t="s">
        <v>662</v>
      </c>
      <c r="C2216" t="s">
        <v>663</v>
      </c>
      <c r="D2216" t="s">
        <v>24</v>
      </c>
      <c r="E2216" t="s">
        <v>133</v>
      </c>
      <c r="F2216" t="s">
        <v>1700</v>
      </c>
      <c r="G2216" t="s">
        <v>133</v>
      </c>
      <c r="H2216" t="s">
        <v>133</v>
      </c>
      <c r="M2216" t="s">
        <v>282</v>
      </c>
      <c r="O2216" t="s">
        <v>161</v>
      </c>
      <c r="S2216" t="s">
        <v>1702</v>
      </c>
      <c r="T2216" t="s">
        <v>265</v>
      </c>
    </row>
    <row r="2217" spans="1:20" x14ac:dyDescent="0.2">
      <c r="A2217" t="s">
        <v>584</v>
      </c>
      <c r="B2217" t="s">
        <v>585</v>
      </c>
      <c r="C2217" t="s">
        <v>586</v>
      </c>
      <c r="D2217" t="s">
        <v>35</v>
      </c>
      <c r="E2217" t="s">
        <v>133</v>
      </c>
      <c r="F2217" t="s">
        <v>1700</v>
      </c>
      <c r="G2217" t="s">
        <v>133</v>
      </c>
      <c r="H2217" t="s">
        <v>133</v>
      </c>
      <c r="M2217" t="s">
        <v>282</v>
      </c>
      <c r="O2217" t="s">
        <v>161</v>
      </c>
      <c r="S2217" t="s">
        <v>1702</v>
      </c>
      <c r="T2217" t="s">
        <v>265</v>
      </c>
    </row>
    <row r="2218" spans="1:20" x14ac:dyDescent="0.2">
      <c r="A2218" t="s">
        <v>587</v>
      </c>
      <c r="B2218" t="s">
        <v>588</v>
      </c>
      <c r="C2218" t="s">
        <v>589</v>
      </c>
      <c r="D2218" t="s">
        <v>35</v>
      </c>
      <c r="E2218" t="s">
        <v>133</v>
      </c>
      <c r="F2218" t="s">
        <v>1700</v>
      </c>
      <c r="G2218" t="s">
        <v>133</v>
      </c>
      <c r="H2218" t="s">
        <v>133</v>
      </c>
      <c r="M2218" t="s">
        <v>282</v>
      </c>
      <c r="O2218" t="s">
        <v>161</v>
      </c>
      <c r="S2218" t="s">
        <v>1702</v>
      </c>
      <c r="T2218" t="s">
        <v>265</v>
      </c>
    </row>
    <row r="2219" spans="1:20" x14ac:dyDescent="0.2">
      <c r="A2219" t="s">
        <v>63</v>
      </c>
      <c r="B2219" t="s">
        <v>64</v>
      </c>
      <c r="C2219" t="s">
        <v>65</v>
      </c>
      <c r="D2219" t="s">
        <v>24</v>
      </c>
      <c r="E2219" t="s">
        <v>133</v>
      </c>
      <c r="F2219" t="s">
        <v>1700</v>
      </c>
      <c r="G2219" t="s">
        <v>133</v>
      </c>
      <c r="H2219" t="s">
        <v>133</v>
      </c>
      <c r="M2219" t="s">
        <v>282</v>
      </c>
      <c r="O2219" t="s">
        <v>161</v>
      </c>
      <c r="S2219" t="s">
        <v>1702</v>
      </c>
      <c r="T2219" t="s">
        <v>265</v>
      </c>
    </row>
    <row r="2220" spans="1:20" x14ac:dyDescent="0.2">
      <c r="A2220" t="s">
        <v>542</v>
      </c>
      <c r="B2220" t="s">
        <v>543</v>
      </c>
      <c r="C2220" t="s">
        <v>544</v>
      </c>
      <c r="D2220" t="s">
        <v>35</v>
      </c>
      <c r="E2220" t="s">
        <v>133</v>
      </c>
      <c r="F2220" t="s">
        <v>1700</v>
      </c>
      <c r="G2220" t="s">
        <v>133</v>
      </c>
      <c r="H2220" t="s">
        <v>133</v>
      </c>
      <c r="M2220" t="s">
        <v>137</v>
      </c>
      <c r="O2220" t="s">
        <v>161</v>
      </c>
      <c r="S2220" t="s">
        <v>1702</v>
      </c>
      <c r="T2220" t="s">
        <v>265</v>
      </c>
    </row>
    <row r="2221" spans="1:20" x14ac:dyDescent="0.2">
      <c r="A2221" t="s">
        <v>608</v>
      </c>
      <c r="B2221" t="s">
        <v>609</v>
      </c>
      <c r="C2221" t="s">
        <v>610</v>
      </c>
      <c r="D2221" t="s">
        <v>35</v>
      </c>
      <c r="E2221" t="s">
        <v>133</v>
      </c>
      <c r="F2221" t="s">
        <v>1700</v>
      </c>
      <c r="G2221" t="s">
        <v>133</v>
      </c>
      <c r="H2221" t="s">
        <v>133</v>
      </c>
      <c r="M2221" t="s">
        <v>137</v>
      </c>
      <c r="O2221" t="s">
        <v>161</v>
      </c>
      <c r="S2221" t="s">
        <v>1702</v>
      </c>
      <c r="T2221" t="s">
        <v>265</v>
      </c>
    </row>
    <row r="2222" spans="1:20" x14ac:dyDescent="0.2">
      <c r="A2222" t="s">
        <v>611</v>
      </c>
      <c r="B2222" t="s">
        <v>612</v>
      </c>
      <c r="C2222" t="s">
        <v>613</v>
      </c>
      <c r="D2222" t="s">
        <v>35</v>
      </c>
      <c r="E2222" t="s">
        <v>133</v>
      </c>
      <c r="F2222" t="s">
        <v>1700</v>
      </c>
      <c r="G2222" t="s">
        <v>133</v>
      </c>
      <c r="H2222" t="s">
        <v>133</v>
      </c>
      <c r="M2222" t="s">
        <v>282</v>
      </c>
      <c r="O2222" t="s">
        <v>161</v>
      </c>
      <c r="S2222" t="s">
        <v>1702</v>
      </c>
      <c r="T2222" t="s">
        <v>265</v>
      </c>
    </row>
    <row r="2223" spans="1:20" x14ac:dyDescent="0.2">
      <c r="A2223" t="s">
        <v>524</v>
      </c>
      <c r="B2223" t="s">
        <v>525</v>
      </c>
      <c r="C2223" t="s">
        <v>526</v>
      </c>
      <c r="D2223" t="s">
        <v>61</v>
      </c>
      <c r="E2223" t="s">
        <v>133</v>
      </c>
      <c r="F2223" t="s">
        <v>1700</v>
      </c>
      <c r="G2223" t="s">
        <v>133</v>
      </c>
      <c r="H2223" t="s">
        <v>133</v>
      </c>
      <c r="K2223" t="s">
        <v>1015</v>
      </c>
      <c r="M2223" t="s">
        <v>137</v>
      </c>
      <c r="O2223" t="s">
        <v>161</v>
      </c>
    </row>
    <row r="2224" spans="1:20" x14ac:dyDescent="0.2">
      <c r="A2224" t="s">
        <v>562</v>
      </c>
      <c r="B2224" t="s">
        <v>563</v>
      </c>
      <c r="C2224" t="s">
        <v>564</v>
      </c>
      <c r="D2224" t="s">
        <v>61</v>
      </c>
      <c r="E2224" t="s">
        <v>133</v>
      </c>
      <c r="F2224" t="s">
        <v>1700</v>
      </c>
      <c r="G2224" t="s">
        <v>133</v>
      </c>
      <c r="H2224" t="s">
        <v>133</v>
      </c>
      <c r="K2224" t="s">
        <v>1014</v>
      </c>
      <c r="M2224" t="s">
        <v>282</v>
      </c>
      <c r="O2224" t="s">
        <v>161</v>
      </c>
    </row>
    <row r="2225" spans="1:20" x14ac:dyDescent="0.2">
      <c r="A2225" t="s">
        <v>1697</v>
      </c>
      <c r="B2225" t="s">
        <v>1698</v>
      </c>
      <c r="C2225" t="s">
        <v>1699</v>
      </c>
      <c r="D2225" t="s">
        <v>35</v>
      </c>
      <c r="E2225" t="s">
        <v>505</v>
      </c>
      <c r="F2225" t="s">
        <v>1703</v>
      </c>
      <c r="G2225" t="s">
        <v>133</v>
      </c>
      <c r="H2225" t="s">
        <v>133</v>
      </c>
      <c r="M2225" t="s">
        <v>137</v>
      </c>
      <c r="O2225" t="s">
        <v>161</v>
      </c>
      <c r="S2225" t="s">
        <v>1704</v>
      </c>
      <c r="T2225" t="s">
        <v>265</v>
      </c>
    </row>
    <row r="2226" spans="1:20" x14ac:dyDescent="0.2">
      <c r="A2226" t="s">
        <v>1697</v>
      </c>
      <c r="B2226" t="s">
        <v>1698</v>
      </c>
      <c r="C2226" t="s">
        <v>1699</v>
      </c>
      <c r="D2226" t="s">
        <v>61</v>
      </c>
      <c r="E2226" t="s">
        <v>255</v>
      </c>
      <c r="F2226" t="s">
        <v>1703</v>
      </c>
      <c r="G2226" t="s">
        <v>133</v>
      </c>
      <c r="H2226" t="s">
        <v>133</v>
      </c>
      <c r="K2226" t="s">
        <v>259</v>
      </c>
      <c r="M2226" t="s">
        <v>137</v>
      </c>
      <c r="O2226" t="s">
        <v>161</v>
      </c>
    </row>
    <row r="2227" spans="1:20" x14ac:dyDescent="0.2">
      <c r="A2227" t="s">
        <v>999</v>
      </c>
      <c r="B2227" t="s">
        <v>1000</v>
      </c>
      <c r="C2227" t="s">
        <v>1001</v>
      </c>
      <c r="D2227" t="s">
        <v>35</v>
      </c>
      <c r="E2227" t="s">
        <v>505</v>
      </c>
      <c r="F2227" t="s">
        <v>1703</v>
      </c>
      <c r="G2227" t="s">
        <v>133</v>
      </c>
      <c r="H2227" t="s">
        <v>133</v>
      </c>
      <c r="M2227" t="s">
        <v>282</v>
      </c>
      <c r="O2227" t="s">
        <v>161</v>
      </c>
      <c r="S2227" t="s">
        <v>1704</v>
      </c>
      <c r="T2227" t="s">
        <v>265</v>
      </c>
    </row>
    <row r="2228" spans="1:20" x14ac:dyDescent="0.2">
      <c r="A2228" t="s">
        <v>999</v>
      </c>
      <c r="B2228" t="s">
        <v>1000</v>
      </c>
      <c r="C2228" t="s">
        <v>1001</v>
      </c>
      <c r="D2228" t="s">
        <v>61</v>
      </c>
      <c r="E2228" t="s">
        <v>255</v>
      </c>
      <c r="F2228" t="s">
        <v>1703</v>
      </c>
      <c r="G2228" t="s">
        <v>133</v>
      </c>
      <c r="H2228" t="s">
        <v>133</v>
      </c>
      <c r="K2228" t="s">
        <v>289</v>
      </c>
      <c r="M2228" t="s">
        <v>282</v>
      </c>
      <c r="O2228" t="s">
        <v>161</v>
      </c>
    </row>
    <row r="2229" spans="1:20" x14ac:dyDescent="0.2">
      <c r="A2229" t="s">
        <v>1006</v>
      </c>
      <c r="B2229" t="s">
        <v>1007</v>
      </c>
      <c r="C2229" t="s">
        <v>1008</v>
      </c>
      <c r="D2229" t="s">
        <v>35</v>
      </c>
      <c r="E2229" t="s">
        <v>505</v>
      </c>
      <c r="F2229" t="s">
        <v>1703</v>
      </c>
      <c r="G2229" t="s">
        <v>133</v>
      </c>
      <c r="H2229" t="s">
        <v>133</v>
      </c>
      <c r="M2229" t="s">
        <v>282</v>
      </c>
      <c r="O2229" t="s">
        <v>161</v>
      </c>
      <c r="S2229" t="s">
        <v>1704</v>
      </c>
      <c r="T2229" t="s">
        <v>265</v>
      </c>
    </row>
    <row r="2230" spans="1:20" x14ac:dyDescent="0.2">
      <c r="A2230" t="s">
        <v>1006</v>
      </c>
      <c r="B2230" t="s">
        <v>1007</v>
      </c>
      <c r="C2230" t="s">
        <v>1008</v>
      </c>
      <c r="D2230" t="s">
        <v>61</v>
      </c>
      <c r="E2230" t="s">
        <v>255</v>
      </c>
      <c r="F2230" t="s">
        <v>1703</v>
      </c>
      <c r="G2230" t="s">
        <v>133</v>
      </c>
      <c r="H2230" t="s">
        <v>133</v>
      </c>
      <c r="K2230" t="s">
        <v>350</v>
      </c>
      <c r="M2230" t="s">
        <v>282</v>
      </c>
      <c r="O2230" t="s">
        <v>161</v>
      </c>
    </row>
    <row r="2231" spans="1:20" x14ac:dyDescent="0.2">
      <c r="A2231" t="s">
        <v>1009</v>
      </c>
      <c r="B2231" t="s">
        <v>1010</v>
      </c>
      <c r="C2231" t="s">
        <v>1011</v>
      </c>
      <c r="D2231" t="s">
        <v>35</v>
      </c>
      <c r="E2231" t="s">
        <v>505</v>
      </c>
      <c r="F2231" t="s">
        <v>1703</v>
      </c>
      <c r="G2231" t="s">
        <v>133</v>
      </c>
      <c r="H2231" t="s">
        <v>133</v>
      </c>
      <c r="M2231" t="s">
        <v>282</v>
      </c>
      <c r="O2231" t="s">
        <v>161</v>
      </c>
      <c r="S2231" t="s">
        <v>1704</v>
      </c>
      <c r="T2231" t="s">
        <v>265</v>
      </c>
    </row>
    <row r="2232" spans="1:20" x14ac:dyDescent="0.2">
      <c r="A2232" t="s">
        <v>1009</v>
      </c>
      <c r="B2232" t="s">
        <v>1010</v>
      </c>
      <c r="C2232" t="s">
        <v>1011</v>
      </c>
      <c r="D2232" t="s">
        <v>61</v>
      </c>
      <c r="E2232" t="s">
        <v>255</v>
      </c>
      <c r="F2232" t="s">
        <v>1703</v>
      </c>
      <c r="G2232" t="s">
        <v>133</v>
      </c>
      <c r="H2232" t="s">
        <v>133</v>
      </c>
      <c r="K2232" t="s">
        <v>305</v>
      </c>
      <c r="M2232" t="s">
        <v>282</v>
      </c>
      <c r="O2232" t="s">
        <v>161</v>
      </c>
    </row>
    <row r="2233" spans="1:20" x14ac:dyDescent="0.2">
      <c r="A2233" t="s">
        <v>1012</v>
      </c>
      <c r="B2233" t="s">
        <v>1013</v>
      </c>
      <c r="C2233" t="s">
        <v>1014</v>
      </c>
      <c r="D2233" t="s">
        <v>35</v>
      </c>
      <c r="E2233" t="s">
        <v>505</v>
      </c>
      <c r="F2233" t="s">
        <v>1703</v>
      </c>
      <c r="G2233" t="s">
        <v>133</v>
      </c>
      <c r="H2233" t="s">
        <v>133</v>
      </c>
      <c r="M2233" t="s">
        <v>282</v>
      </c>
      <c r="O2233" t="s">
        <v>161</v>
      </c>
      <c r="S2233" t="s">
        <v>1704</v>
      </c>
      <c r="T2233" t="s">
        <v>265</v>
      </c>
    </row>
    <row r="2234" spans="1:20" x14ac:dyDescent="0.2">
      <c r="A2234" t="s">
        <v>1012</v>
      </c>
      <c r="B2234" t="s">
        <v>1013</v>
      </c>
      <c r="C2234" t="s">
        <v>1014</v>
      </c>
      <c r="D2234" t="s">
        <v>61</v>
      </c>
      <c r="E2234" t="s">
        <v>255</v>
      </c>
      <c r="F2234" t="s">
        <v>1703</v>
      </c>
      <c r="G2234" t="s">
        <v>133</v>
      </c>
      <c r="H2234" t="s">
        <v>133</v>
      </c>
      <c r="K2234" t="s">
        <v>322</v>
      </c>
      <c r="M2234" t="s">
        <v>282</v>
      </c>
      <c r="O2234" t="s">
        <v>161</v>
      </c>
    </row>
    <row r="2235" spans="1:20" x14ac:dyDescent="0.2">
      <c r="A2235" t="s">
        <v>574</v>
      </c>
      <c r="B2235" t="s">
        <v>575</v>
      </c>
      <c r="C2235" t="s">
        <v>576</v>
      </c>
      <c r="D2235" t="s">
        <v>35</v>
      </c>
      <c r="E2235" t="s">
        <v>133</v>
      </c>
      <c r="F2235" t="s">
        <v>1703</v>
      </c>
      <c r="G2235" t="s">
        <v>133</v>
      </c>
      <c r="H2235" t="s">
        <v>133</v>
      </c>
      <c r="M2235" t="s">
        <v>137</v>
      </c>
      <c r="O2235" t="s">
        <v>161</v>
      </c>
      <c r="S2235" t="s">
        <v>1704</v>
      </c>
      <c r="T2235" t="s">
        <v>265</v>
      </c>
    </row>
    <row r="2236" spans="1:20" x14ac:dyDescent="0.2">
      <c r="A2236" t="s">
        <v>577</v>
      </c>
      <c r="B2236" t="s">
        <v>578</v>
      </c>
      <c r="C2236" t="s">
        <v>579</v>
      </c>
      <c r="D2236" t="s">
        <v>35</v>
      </c>
      <c r="E2236" t="s">
        <v>133</v>
      </c>
      <c r="F2236" t="s">
        <v>1703</v>
      </c>
      <c r="G2236" t="s">
        <v>133</v>
      </c>
      <c r="H2236" t="s">
        <v>133</v>
      </c>
      <c r="M2236" t="s">
        <v>137</v>
      </c>
      <c r="O2236" t="s">
        <v>161</v>
      </c>
      <c r="S2236" t="s">
        <v>1704</v>
      </c>
      <c r="T2236" t="s">
        <v>265</v>
      </c>
    </row>
    <row r="2237" spans="1:20" x14ac:dyDescent="0.2">
      <c r="A2237" t="s">
        <v>658</v>
      </c>
      <c r="B2237" t="s">
        <v>659</v>
      </c>
      <c r="C2237" t="s">
        <v>660</v>
      </c>
      <c r="D2237" t="s">
        <v>35</v>
      </c>
      <c r="E2237" t="s">
        <v>133</v>
      </c>
      <c r="F2237" t="s">
        <v>1703</v>
      </c>
      <c r="G2237" t="s">
        <v>133</v>
      </c>
      <c r="H2237" t="s">
        <v>133</v>
      </c>
      <c r="M2237" t="s">
        <v>282</v>
      </c>
      <c r="O2237" t="s">
        <v>161</v>
      </c>
      <c r="S2237" t="s">
        <v>1704</v>
      </c>
      <c r="T2237" t="s">
        <v>265</v>
      </c>
    </row>
    <row r="2238" spans="1:20" x14ac:dyDescent="0.2">
      <c r="A2238" t="s">
        <v>661</v>
      </c>
      <c r="B2238" t="s">
        <v>662</v>
      </c>
      <c r="C2238" t="s">
        <v>663</v>
      </c>
      <c r="D2238" t="s">
        <v>24</v>
      </c>
      <c r="E2238" t="s">
        <v>133</v>
      </c>
      <c r="F2238" t="s">
        <v>1703</v>
      </c>
      <c r="G2238" t="s">
        <v>133</v>
      </c>
      <c r="H2238" t="s">
        <v>133</v>
      </c>
      <c r="M2238" t="s">
        <v>282</v>
      </c>
      <c r="O2238" t="s">
        <v>161</v>
      </c>
      <c r="S2238" t="s">
        <v>1704</v>
      </c>
      <c r="T2238" t="s">
        <v>265</v>
      </c>
    </row>
    <row r="2239" spans="1:20" x14ac:dyDescent="0.2">
      <c r="A2239" t="s">
        <v>584</v>
      </c>
      <c r="B2239" t="s">
        <v>585</v>
      </c>
      <c r="C2239" t="s">
        <v>586</v>
      </c>
      <c r="D2239" t="s">
        <v>35</v>
      </c>
      <c r="E2239" t="s">
        <v>133</v>
      </c>
      <c r="F2239" t="s">
        <v>1703</v>
      </c>
      <c r="G2239" t="s">
        <v>133</v>
      </c>
      <c r="H2239" t="s">
        <v>133</v>
      </c>
      <c r="M2239" t="s">
        <v>282</v>
      </c>
      <c r="O2239" t="s">
        <v>161</v>
      </c>
      <c r="S2239" t="s">
        <v>1704</v>
      </c>
      <c r="T2239" t="s">
        <v>265</v>
      </c>
    </row>
    <row r="2240" spans="1:20" x14ac:dyDescent="0.2">
      <c r="A2240" t="s">
        <v>587</v>
      </c>
      <c r="B2240" t="s">
        <v>588</v>
      </c>
      <c r="C2240" t="s">
        <v>589</v>
      </c>
      <c r="D2240" t="s">
        <v>35</v>
      </c>
      <c r="E2240" t="s">
        <v>133</v>
      </c>
      <c r="F2240" t="s">
        <v>1703</v>
      </c>
      <c r="G2240" t="s">
        <v>133</v>
      </c>
      <c r="H2240" t="s">
        <v>133</v>
      </c>
      <c r="M2240" t="s">
        <v>282</v>
      </c>
      <c r="O2240" t="s">
        <v>161</v>
      </c>
      <c r="S2240" t="s">
        <v>1704</v>
      </c>
      <c r="T2240" t="s">
        <v>265</v>
      </c>
    </row>
    <row r="2241" spans="1:20" x14ac:dyDescent="0.2">
      <c r="A2241" t="s">
        <v>63</v>
      </c>
      <c r="B2241" t="s">
        <v>64</v>
      </c>
      <c r="C2241" t="s">
        <v>65</v>
      </c>
      <c r="D2241" t="s">
        <v>24</v>
      </c>
      <c r="E2241" t="s">
        <v>133</v>
      </c>
      <c r="F2241" t="s">
        <v>1703</v>
      </c>
      <c r="G2241" t="s">
        <v>133</v>
      </c>
      <c r="H2241" t="s">
        <v>133</v>
      </c>
      <c r="M2241" t="s">
        <v>282</v>
      </c>
      <c r="O2241" t="s">
        <v>161</v>
      </c>
      <c r="S2241" t="s">
        <v>1704</v>
      </c>
      <c r="T2241" t="s">
        <v>265</v>
      </c>
    </row>
    <row r="2242" spans="1:20" x14ac:dyDescent="0.2">
      <c r="A2242" t="s">
        <v>542</v>
      </c>
      <c r="B2242" t="s">
        <v>543</v>
      </c>
      <c r="C2242" t="s">
        <v>544</v>
      </c>
      <c r="D2242" t="s">
        <v>35</v>
      </c>
      <c r="E2242" t="s">
        <v>133</v>
      </c>
      <c r="F2242" t="s">
        <v>1703</v>
      </c>
      <c r="G2242" t="s">
        <v>133</v>
      </c>
      <c r="H2242" t="s">
        <v>133</v>
      </c>
      <c r="M2242" t="s">
        <v>137</v>
      </c>
      <c r="O2242" t="s">
        <v>161</v>
      </c>
      <c r="S2242" t="s">
        <v>1704</v>
      </c>
      <c r="T2242" t="s">
        <v>265</v>
      </c>
    </row>
    <row r="2243" spans="1:20" x14ac:dyDescent="0.2">
      <c r="A2243" t="s">
        <v>608</v>
      </c>
      <c r="B2243" t="s">
        <v>609</v>
      </c>
      <c r="C2243" t="s">
        <v>610</v>
      </c>
      <c r="D2243" t="s">
        <v>35</v>
      </c>
      <c r="E2243" t="s">
        <v>133</v>
      </c>
      <c r="F2243" t="s">
        <v>1703</v>
      </c>
      <c r="G2243" t="s">
        <v>133</v>
      </c>
      <c r="H2243" t="s">
        <v>133</v>
      </c>
      <c r="M2243" t="s">
        <v>137</v>
      </c>
      <c r="O2243" t="s">
        <v>161</v>
      </c>
      <c r="S2243" t="s">
        <v>1704</v>
      </c>
      <c r="T2243" t="s">
        <v>265</v>
      </c>
    </row>
    <row r="2244" spans="1:20" x14ac:dyDescent="0.2">
      <c r="A2244" t="s">
        <v>611</v>
      </c>
      <c r="B2244" t="s">
        <v>612</v>
      </c>
      <c r="C2244" t="s">
        <v>613</v>
      </c>
      <c r="D2244" t="s">
        <v>35</v>
      </c>
      <c r="E2244" t="s">
        <v>133</v>
      </c>
      <c r="F2244" t="s">
        <v>1703</v>
      </c>
      <c r="G2244" t="s">
        <v>133</v>
      </c>
      <c r="H2244" t="s">
        <v>133</v>
      </c>
      <c r="M2244" t="s">
        <v>282</v>
      </c>
      <c r="O2244" t="s">
        <v>161</v>
      </c>
      <c r="S2244" t="s">
        <v>1704</v>
      </c>
      <c r="T2244" t="s">
        <v>265</v>
      </c>
    </row>
    <row r="2245" spans="1:20" x14ac:dyDescent="0.2">
      <c r="A2245" t="s">
        <v>524</v>
      </c>
      <c r="B2245" t="s">
        <v>525</v>
      </c>
      <c r="C2245" t="s">
        <v>526</v>
      </c>
      <c r="D2245" t="s">
        <v>61</v>
      </c>
      <c r="E2245" t="s">
        <v>133</v>
      </c>
      <c r="F2245" t="s">
        <v>1703</v>
      </c>
      <c r="G2245" t="s">
        <v>133</v>
      </c>
      <c r="H2245" t="s">
        <v>133</v>
      </c>
      <c r="K2245" t="s">
        <v>1015</v>
      </c>
      <c r="M2245" t="s">
        <v>137</v>
      </c>
      <c r="O2245" t="s">
        <v>161</v>
      </c>
    </row>
    <row r="2246" spans="1:20" x14ac:dyDescent="0.2">
      <c r="A2246" t="s">
        <v>562</v>
      </c>
      <c r="B2246" t="s">
        <v>563</v>
      </c>
      <c r="C2246" t="s">
        <v>564</v>
      </c>
      <c r="D2246" t="s">
        <v>61</v>
      </c>
      <c r="E2246" t="s">
        <v>133</v>
      </c>
      <c r="F2246" t="s">
        <v>1703</v>
      </c>
      <c r="G2246" t="s">
        <v>133</v>
      </c>
      <c r="H2246" t="s">
        <v>133</v>
      </c>
      <c r="K2246" t="s">
        <v>1014</v>
      </c>
      <c r="M2246" t="s">
        <v>282</v>
      </c>
      <c r="O2246" t="s">
        <v>161</v>
      </c>
    </row>
    <row r="2247" spans="1:20" x14ac:dyDescent="0.2">
      <c r="A2247" t="s">
        <v>1697</v>
      </c>
      <c r="B2247" t="s">
        <v>1698</v>
      </c>
      <c r="C2247" t="s">
        <v>1699</v>
      </c>
      <c r="D2247" t="s">
        <v>35</v>
      </c>
      <c r="E2247" t="s">
        <v>505</v>
      </c>
      <c r="F2247" t="s">
        <v>1705</v>
      </c>
      <c r="G2247" t="s">
        <v>133</v>
      </c>
      <c r="H2247" t="s">
        <v>133</v>
      </c>
      <c r="M2247" t="s">
        <v>137</v>
      </c>
      <c r="O2247" t="s">
        <v>161</v>
      </c>
      <c r="S2247" t="s">
        <v>6546</v>
      </c>
      <c r="T2247" t="s">
        <v>265</v>
      </c>
    </row>
    <row r="2248" spans="1:20" x14ac:dyDescent="0.2">
      <c r="A2248" t="s">
        <v>1697</v>
      </c>
      <c r="B2248" t="s">
        <v>1698</v>
      </c>
      <c r="C2248" t="s">
        <v>1699</v>
      </c>
      <c r="D2248" t="s">
        <v>61</v>
      </c>
      <c r="E2248" t="s">
        <v>255</v>
      </c>
      <c r="F2248" t="s">
        <v>1705</v>
      </c>
      <c r="G2248" t="s">
        <v>133</v>
      </c>
      <c r="H2248" t="s">
        <v>133</v>
      </c>
      <c r="K2248" t="s">
        <v>259</v>
      </c>
      <c r="M2248" t="s">
        <v>137</v>
      </c>
      <c r="O2248" t="s">
        <v>161</v>
      </c>
    </row>
    <row r="2249" spans="1:20" x14ac:dyDescent="0.2">
      <c r="A2249" t="s">
        <v>999</v>
      </c>
      <c r="B2249" t="s">
        <v>1000</v>
      </c>
      <c r="C2249" t="s">
        <v>1001</v>
      </c>
      <c r="D2249" t="s">
        <v>35</v>
      </c>
      <c r="E2249" t="s">
        <v>505</v>
      </c>
      <c r="F2249" t="s">
        <v>1705</v>
      </c>
      <c r="G2249" t="s">
        <v>133</v>
      </c>
      <c r="H2249" t="s">
        <v>133</v>
      </c>
      <c r="M2249" t="s">
        <v>282</v>
      </c>
      <c r="O2249" t="s">
        <v>161</v>
      </c>
      <c r="S2249" t="s">
        <v>615</v>
      </c>
      <c r="T2249" t="s">
        <v>265</v>
      </c>
    </row>
    <row r="2250" spans="1:20" x14ac:dyDescent="0.2">
      <c r="A2250" t="s">
        <v>999</v>
      </c>
      <c r="B2250" t="s">
        <v>1000</v>
      </c>
      <c r="C2250" t="s">
        <v>1001</v>
      </c>
      <c r="D2250" t="s">
        <v>61</v>
      </c>
      <c r="E2250" t="s">
        <v>255</v>
      </c>
      <c r="F2250" t="s">
        <v>1705</v>
      </c>
      <c r="G2250" t="s">
        <v>133</v>
      </c>
      <c r="H2250" t="s">
        <v>133</v>
      </c>
      <c r="K2250" t="s">
        <v>289</v>
      </c>
      <c r="M2250" t="s">
        <v>282</v>
      </c>
      <c r="O2250" t="s">
        <v>161</v>
      </c>
    </row>
    <row r="2251" spans="1:20" x14ac:dyDescent="0.2">
      <c r="A2251" t="s">
        <v>1006</v>
      </c>
      <c r="B2251" t="s">
        <v>1007</v>
      </c>
      <c r="C2251" t="s">
        <v>1008</v>
      </c>
      <c r="D2251" t="s">
        <v>35</v>
      </c>
      <c r="E2251" t="s">
        <v>505</v>
      </c>
      <c r="F2251" t="s">
        <v>1705</v>
      </c>
      <c r="G2251" t="s">
        <v>133</v>
      </c>
      <c r="H2251" t="s">
        <v>133</v>
      </c>
      <c r="M2251" t="s">
        <v>282</v>
      </c>
      <c r="O2251" t="s">
        <v>161</v>
      </c>
      <c r="S2251" t="s">
        <v>615</v>
      </c>
      <c r="T2251" t="s">
        <v>265</v>
      </c>
    </row>
    <row r="2252" spans="1:20" x14ac:dyDescent="0.2">
      <c r="A2252" t="s">
        <v>1006</v>
      </c>
      <c r="B2252" t="s">
        <v>1007</v>
      </c>
      <c r="C2252" t="s">
        <v>1008</v>
      </c>
      <c r="D2252" t="s">
        <v>61</v>
      </c>
      <c r="E2252" t="s">
        <v>255</v>
      </c>
      <c r="F2252" t="s">
        <v>1705</v>
      </c>
      <c r="G2252" t="s">
        <v>133</v>
      </c>
      <c r="H2252" t="s">
        <v>133</v>
      </c>
      <c r="K2252" t="s">
        <v>350</v>
      </c>
      <c r="M2252" t="s">
        <v>282</v>
      </c>
      <c r="O2252" t="s">
        <v>161</v>
      </c>
    </row>
    <row r="2253" spans="1:20" x14ac:dyDescent="0.2">
      <c r="A2253" t="s">
        <v>1009</v>
      </c>
      <c r="B2253" t="s">
        <v>1010</v>
      </c>
      <c r="C2253" t="s">
        <v>1011</v>
      </c>
      <c r="D2253" t="s">
        <v>35</v>
      </c>
      <c r="E2253" t="s">
        <v>505</v>
      </c>
      <c r="F2253" t="s">
        <v>1705</v>
      </c>
      <c r="G2253" t="s">
        <v>133</v>
      </c>
      <c r="H2253" t="s">
        <v>133</v>
      </c>
      <c r="M2253" t="s">
        <v>282</v>
      </c>
      <c r="O2253" t="s">
        <v>161</v>
      </c>
      <c r="S2253" t="s">
        <v>615</v>
      </c>
      <c r="T2253" t="s">
        <v>265</v>
      </c>
    </row>
    <row r="2254" spans="1:20" x14ac:dyDescent="0.2">
      <c r="A2254" t="s">
        <v>1009</v>
      </c>
      <c r="B2254" t="s">
        <v>1010</v>
      </c>
      <c r="C2254" t="s">
        <v>1011</v>
      </c>
      <c r="D2254" t="s">
        <v>61</v>
      </c>
      <c r="E2254" t="s">
        <v>255</v>
      </c>
      <c r="F2254" t="s">
        <v>1705</v>
      </c>
      <c r="G2254" t="s">
        <v>133</v>
      </c>
      <c r="H2254" t="s">
        <v>133</v>
      </c>
      <c r="K2254" t="s">
        <v>305</v>
      </c>
      <c r="M2254" t="s">
        <v>282</v>
      </c>
      <c r="O2254" t="s">
        <v>161</v>
      </c>
    </row>
    <row r="2255" spans="1:20" x14ac:dyDescent="0.2">
      <c r="A2255" t="s">
        <v>1012</v>
      </c>
      <c r="B2255" t="s">
        <v>1013</v>
      </c>
      <c r="C2255" t="s">
        <v>1014</v>
      </c>
      <c r="D2255" t="s">
        <v>35</v>
      </c>
      <c r="E2255" t="s">
        <v>505</v>
      </c>
      <c r="F2255" t="s">
        <v>1705</v>
      </c>
      <c r="G2255" t="s">
        <v>133</v>
      </c>
      <c r="H2255" t="s">
        <v>133</v>
      </c>
      <c r="M2255" t="s">
        <v>282</v>
      </c>
      <c r="O2255" t="s">
        <v>161</v>
      </c>
      <c r="S2255" t="s">
        <v>615</v>
      </c>
      <c r="T2255" t="s">
        <v>265</v>
      </c>
    </row>
    <row r="2256" spans="1:20" x14ac:dyDescent="0.2">
      <c r="A2256" t="s">
        <v>1012</v>
      </c>
      <c r="B2256" t="s">
        <v>1013</v>
      </c>
      <c r="C2256" t="s">
        <v>1014</v>
      </c>
      <c r="D2256" t="s">
        <v>61</v>
      </c>
      <c r="E2256" t="s">
        <v>255</v>
      </c>
      <c r="F2256" t="s">
        <v>1705</v>
      </c>
      <c r="G2256" t="s">
        <v>133</v>
      </c>
      <c r="H2256" t="s">
        <v>133</v>
      </c>
      <c r="K2256" t="s">
        <v>322</v>
      </c>
      <c r="M2256" t="s">
        <v>282</v>
      </c>
      <c r="O2256" t="s">
        <v>161</v>
      </c>
    </row>
    <row r="2257" spans="1:20" x14ac:dyDescent="0.2">
      <c r="A2257" t="s">
        <v>574</v>
      </c>
      <c r="B2257" t="s">
        <v>575</v>
      </c>
      <c r="C2257" t="s">
        <v>576</v>
      </c>
      <c r="D2257" t="s">
        <v>35</v>
      </c>
      <c r="E2257" t="s">
        <v>133</v>
      </c>
      <c r="F2257" t="s">
        <v>1705</v>
      </c>
      <c r="G2257" t="s">
        <v>133</v>
      </c>
      <c r="H2257" t="s">
        <v>133</v>
      </c>
      <c r="M2257" t="s">
        <v>137</v>
      </c>
      <c r="O2257" t="s">
        <v>161</v>
      </c>
      <c r="S2257" t="s">
        <v>615</v>
      </c>
      <c r="T2257" t="s">
        <v>265</v>
      </c>
    </row>
    <row r="2258" spans="1:20" x14ac:dyDescent="0.2">
      <c r="A2258" t="s">
        <v>577</v>
      </c>
      <c r="B2258" t="s">
        <v>578</v>
      </c>
      <c r="C2258" t="s">
        <v>579</v>
      </c>
      <c r="D2258" t="s">
        <v>35</v>
      </c>
      <c r="E2258" t="s">
        <v>133</v>
      </c>
      <c r="F2258" t="s">
        <v>1705</v>
      </c>
      <c r="G2258" t="s">
        <v>133</v>
      </c>
      <c r="H2258" t="s">
        <v>133</v>
      </c>
      <c r="M2258" t="s">
        <v>137</v>
      </c>
      <c r="O2258" t="s">
        <v>161</v>
      </c>
      <c r="S2258" t="s">
        <v>615</v>
      </c>
      <c r="T2258" t="s">
        <v>265</v>
      </c>
    </row>
    <row r="2259" spans="1:20" x14ac:dyDescent="0.2">
      <c r="A2259" t="s">
        <v>658</v>
      </c>
      <c r="B2259" t="s">
        <v>659</v>
      </c>
      <c r="C2259" t="s">
        <v>660</v>
      </c>
      <c r="D2259" t="s">
        <v>35</v>
      </c>
      <c r="E2259" t="s">
        <v>133</v>
      </c>
      <c r="F2259" t="s">
        <v>1705</v>
      </c>
      <c r="G2259" t="s">
        <v>133</v>
      </c>
      <c r="H2259" t="s">
        <v>133</v>
      </c>
      <c r="M2259" t="s">
        <v>282</v>
      </c>
      <c r="O2259" t="s">
        <v>161</v>
      </c>
      <c r="S2259" t="s">
        <v>615</v>
      </c>
      <c r="T2259" t="s">
        <v>265</v>
      </c>
    </row>
    <row r="2260" spans="1:20" x14ac:dyDescent="0.2">
      <c r="A2260" t="s">
        <v>661</v>
      </c>
      <c r="B2260" t="s">
        <v>662</v>
      </c>
      <c r="C2260" t="s">
        <v>663</v>
      </c>
      <c r="D2260" t="s">
        <v>24</v>
      </c>
      <c r="E2260" t="s">
        <v>133</v>
      </c>
      <c r="F2260" t="s">
        <v>1705</v>
      </c>
      <c r="G2260" t="s">
        <v>133</v>
      </c>
      <c r="H2260" t="s">
        <v>133</v>
      </c>
      <c r="M2260" t="s">
        <v>282</v>
      </c>
      <c r="O2260" t="s">
        <v>161</v>
      </c>
      <c r="S2260" t="s">
        <v>615</v>
      </c>
      <c r="T2260" t="s">
        <v>265</v>
      </c>
    </row>
    <row r="2261" spans="1:20" x14ac:dyDescent="0.2">
      <c r="A2261" t="s">
        <v>584</v>
      </c>
      <c r="B2261" t="s">
        <v>585</v>
      </c>
      <c r="C2261" t="s">
        <v>586</v>
      </c>
      <c r="D2261" t="s">
        <v>35</v>
      </c>
      <c r="E2261" t="s">
        <v>133</v>
      </c>
      <c r="F2261" t="s">
        <v>1705</v>
      </c>
      <c r="G2261" t="s">
        <v>133</v>
      </c>
      <c r="H2261" t="s">
        <v>133</v>
      </c>
      <c r="M2261" t="s">
        <v>282</v>
      </c>
      <c r="O2261" t="s">
        <v>161</v>
      </c>
      <c r="S2261" t="s">
        <v>615</v>
      </c>
      <c r="T2261" t="s">
        <v>265</v>
      </c>
    </row>
    <row r="2262" spans="1:20" x14ac:dyDescent="0.2">
      <c r="A2262" t="s">
        <v>587</v>
      </c>
      <c r="B2262" t="s">
        <v>588</v>
      </c>
      <c r="C2262" t="s">
        <v>589</v>
      </c>
      <c r="D2262" t="s">
        <v>35</v>
      </c>
      <c r="E2262" t="s">
        <v>133</v>
      </c>
      <c r="F2262" t="s">
        <v>1705</v>
      </c>
      <c r="G2262" t="s">
        <v>133</v>
      </c>
      <c r="H2262" t="s">
        <v>133</v>
      </c>
      <c r="M2262" t="s">
        <v>282</v>
      </c>
      <c r="O2262" t="s">
        <v>161</v>
      </c>
      <c r="S2262" t="s">
        <v>615</v>
      </c>
      <c r="T2262" t="s">
        <v>265</v>
      </c>
    </row>
    <row r="2263" spans="1:20" x14ac:dyDescent="0.2">
      <c r="A2263" t="s">
        <v>63</v>
      </c>
      <c r="B2263" t="s">
        <v>64</v>
      </c>
      <c r="C2263" t="s">
        <v>65</v>
      </c>
      <c r="D2263" t="s">
        <v>24</v>
      </c>
      <c r="E2263" t="s">
        <v>133</v>
      </c>
      <c r="F2263" t="s">
        <v>1705</v>
      </c>
      <c r="G2263" t="s">
        <v>133</v>
      </c>
      <c r="H2263" t="s">
        <v>133</v>
      </c>
      <c r="M2263" t="s">
        <v>282</v>
      </c>
      <c r="O2263" t="s">
        <v>161</v>
      </c>
      <c r="S2263" t="s">
        <v>6546</v>
      </c>
      <c r="T2263" t="s">
        <v>265</v>
      </c>
    </row>
    <row r="2264" spans="1:20" x14ac:dyDescent="0.2">
      <c r="A2264" t="s">
        <v>542</v>
      </c>
      <c r="B2264" t="s">
        <v>543</v>
      </c>
      <c r="C2264" t="s">
        <v>544</v>
      </c>
      <c r="D2264" t="s">
        <v>35</v>
      </c>
      <c r="E2264" t="s">
        <v>133</v>
      </c>
      <c r="F2264" t="s">
        <v>665</v>
      </c>
      <c r="G2264" t="s">
        <v>133</v>
      </c>
      <c r="H2264" t="s">
        <v>133</v>
      </c>
      <c r="M2264" t="s">
        <v>137</v>
      </c>
      <c r="O2264" t="s">
        <v>161</v>
      </c>
      <c r="S2264" t="s">
        <v>6546</v>
      </c>
      <c r="T2264" t="s">
        <v>265</v>
      </c>
    </row>
    <row r="2265" spans="1:20" x14ac:dyDescent="0.2">
      <c r="A2265" t="s">
        <v>608</v>
      </c>
      <c r="B2265" t="s">
        <v>609</v>
      </c>
      <c r="C2265" t="s">
        <v>610</v>
      </c>
      <c r="D2265" t="s">
        <v>35</v>
      </c>
      <c r="E2265" t="s">
        <v>133</v>
      </c>
      <c r="F2265" t="s">
        <v>1705</v>
      </c>
      <c r="G2265" t="s">
        <v>133</v>
      </c>
      <c r="H2265" t="s">
        <v>133</v>
      </c>
      <c r="M2265" t="s">
        <v>137</v>
      </c>
      <c r="O2265" t="s">
        <v>161</v>
      </c>
      <c r="S2265" t="s">
        <v>615</v>
      </c>
      <c r="T2265" t="s">
        <v>265</v>
      </c>
    </row>
    <row r="2266" spans="1:20" x14ac:dyDescent="0.2">
      <c r="A2266" t="s">
        <v>611</v>
      </c>
      <c r="B2266" t="s">
        <v>612</v>
      </c>
      <c r="C2266" t="s">
        <v>613</v>
      </c>
      <c r="D2266" t="s">
        <v>35</v>
      </c>
      <c r="E2266" t="s">
        <v>133</v>
      </c>
      <c r="F2266" t="s">
        <v>1705</v>
      </c>
      <c r="G2266" t="s">
        <v>133</v>
      </c>
      <c r="H2266" t="s">
        <v>133</v>
      </c>
      <c r="M2266" t="s">
        <v>282</v>
      </c>
      <c r="O2266" t="s">
        <v>161</v>
      </c>
      <c r="S2266" t="s">
        <v>615</v>
      </c>
      <c r="T2266" t="s">
        <v>265</v>
      </c>
    </row>
    <row r="2267" spans="1:20" x14ac:dyDescent="0.2">
      <c r="A2267" t="s">
        <v>524</v>
      </c>
      <c r="B2267" t="s">
        <v>525</v>
      </c>
      <c r="C2267" t="s">
        <v>526</v>
      </c>
      <c r="D2267" t="s">
        <v>61</v>
      </c>
      <c r="E2267" t="s">
        <v>133</v>
      </c>
      <c r="F2267" t="s">
        <v>1705</v>
      </c>
      <c r="G2267" t="s">
        <v>133</v>
      </c>
      <c r="H2267" t="s">
        <v>133</v>
      </c>
      <c r="K2267" t="s">
        <v>1015</v>
      </c>
      <c r="M2267" t="s">
        <v>137</v>
      </c>
      <c r="O2267" t="s">
        <v>161</v>
      </c>
    </row>
    <row r="2268" spans="1:20" x14ac:dyDescent="0.2">
      <c r="A2268" t="s">
        <v>546</v>
      </c>
      <c r="B2268" t="s">
        <v>547</v>
      </c>
      <c r="C2268" t="s">
        <v>548</v>
      </c>
      <c r="D2268" t="s">
        <v>61</v>
      </c>
      <c r="E2268" t="s">
        <v>133</v>
      </c>
      <c r="F2268" t="s">
        <v>1705</v>
      </c>
      <c r="G2268" t="s">
        <v>133</v>
      </c>
      <c r="H2268" t="s">
        <v>133</v>
      </c>
      <c r="K2268" t="s">
        <v>1011</v>
      </c>
      <c r="M2268" t="s">
        <v>282</v>
      </c>
      <c r="O2268" t="s">
        <v>161</v>
      </c>
    </row>
    <row r="2269" spans="1:20" x14ac:dyDescent="0.2">
      <c r="A2269" t="s">
        <v>562</v>
      </c>
      <c r="B2269" t="s">
        <v>563</v>
      </c>
      <c r="C2269" t="s">
        <v>564</v>
      </c>
      <c r="D2269" t="s">
        <v>61</v>
      </c>
      <c r="E2269" t="s">
        <v>133</v>
      </c>
      <c r="F2269" t="s">
        <v>1705</v>
      </c>
      <c r="G2269" t="s">
        <v>133</v>
      </c>
      <c r="H2269" t="s">
        <v>133</v>
      </c>
      <c r="K2269" t="s">
        <v>1014</v>
      </c>
      <c r="M2269" t="s">
        <v>282</v>
      </c>
      <c r="O2269" t="s">
        <v>161</v>
      </c>
    </row>
    <row r="2270" spans="1:20" x14ac:dyDescent="0.2">
      <c r="A2270" t="s">
        <v>1697</v>
      </c>
      <c r="B2270" t="s">
        <v>1698</v>
      </c>
      <c r="C2270" t="s">
        <v>1699</v>
      </c>
      <c r="D2270" t="s">
        <v>35</v>
      </c>
      <c r="E2270" t="s">
        <v>505</v>
      </c>
      <c r="F2270" t="s">
        <v>510</v>
      </c>
      <c r="G2270" t="s">
        <v>1706</v>
      </c>
      <c r="H2270" t="s">
        <v>133</v>
      </c>
      <c r="M2270" t="s">
        <v>137</v>
      </c>
      <c r="O2270" t="s">
        <v>161</v>
      </c>
      <c r="S2270" t="s">
        <v>6546</v>
      </c>
      <c r="T2270" t="s">
        <v>265</v>
      </c>
    </row>
    <row r="2271" spans="1:20" x14ac:dyDescent="0.2">
      <c r="A2271" t="s">
        <v>1697</v>
      </c>
      <c r="B2271" t="s">
        <v>1698</v>
      </c>
      <c r="C2271" t="s">
        <v>1699</v>
      </c>
      <c r="D2271" t="s">
        <v>61</v>
      </c>
      <c r="E2271" t="s">
        <v>255</v>
      </c>
      <c r="F2271" t="s">
        <v>510</v>
      </c>
      <c r="G2271" t="s">
        <v>1706</v>
      </c>
      <c r="H2271" t="s">
        <v>133</v>
      </c>
      <c r="K2271" t="s">
        <v>259</v>
      </c>
      <c r="M2271" t="s">
        <v>137</v>
      </c>
      <c r="O2271" t="s">
        <v>161</v>
      </c>
    </row>
    <row r="2272" spans="1:20" x14ac:dyDescent="0.2">
      <c r="A2272" t="s">
        <v>1697</v>
      </c>
      <c r="B2272" t="s">
        <v>1698</v>
      </c>
      <c r="C2272" t="s">
        <v>1699</v>
      </c>
      <c r="D2272" t="s">
        <v>35</v>
      </c>
      <c r="E2272" t="s">
        <v>505</v>
      </c>
      <c r="F2272" t="s">
        <v>606</v>
      </c>
      <c r="G2272" t="s">
        <v>1706</v>
      </c>
      <c r="H2272" t="s">
        <v>133</v>
      </c>
      <c r="M2272" t="s">
        <v>137</v>
      </c>
      <c r="O2272" t="s">
        <v>161</v>
      </c>
      <c r="S2272" t="s">
        <v>6546</v>
      </c>
      <c r="T2272" t="s">
        <v>265</v>
      </c>
    </row>
    <row r="2273" spans="1:20" x14ac:dyDescent="0.2">
      <c r="A2273" t="s">
        <v>1697</v>
      </c>
      <c r="B2273" t="s">
        <v>1698</v>
      </c>
      <c r="C2273" t="s">
        <v>1699</v>
      </c>
      <c r="D2273" t="s">
        <v>61</v>
      </c>
      <c r="E2273" t="s">
        <v>255</v>
      </c>
      <c r="F2273" t="s">
        <v>606</v>
      </c>
      <c r="G2273" t="s">
        <v>1706</v>
      </c>
      <c r="H2273" t="s">
        <v>133</v>
      </c>
      <c r="K2273" t="s">
        <v>259</v>
      </c>
      <c r="M2273" t="s">
        <v>137</v>
      </c>
      <c r="O2273" t="s">
        <v>161</v>
      </c>
    </row>
    <row r="2274" spans="1:20" x14ac:dyDescent="0.2">
      <c r="A2274" t="s">
        <v>1697</v>
      </c>
      <c r="B2274" t="s">
        <v>1698</v>
      </c>
      <c r="C2274" t="s">
        <v>1699</v>
      </c>
      <c r="D2274" t="s">
        <v>35</v>
      </c>
      <c r="E2274" t="s">
        <v>505</v>
      </c>
      <c r="F2274" t="s">
        <v>997</v>
      </c>
      <c r="G2274" t="s">
        <v>1706</v>
      </c>
      <c r="H2274" t="s">
        <v>133</v>
      </c>
      <c r="M2274" t="s">
        <v>137</v>
      </c>
      <c r="O2274" t="s">
        <v>161</v>
      </c>
      <c r="S2274" t="s">
        <v>998</v>
      </c>
      <c r="T2274" t="s">
        <v>265</v>
      </c>
    </row>
    <row r="2275" spans="1:20" x14ac:dyDescent="0.2">
      <c r="A2275" t="s">
        <v>1697</v>
      </c>
      <c r="B2275" t="s">
        <v>1698</v>
      </c>
      <c r="C2275" t="s">
        <v>1699</v>
      </c>
      <c r="D2275" t="s">
        <v>61</v>
      </c>
      <c r="E2275" t="s">
        <v>255</v>
      </c>
      <c r="F2275" t="s">
        <v>997</v>
      </c>
      <c r="G2275" t="s">
        <v>1706</v>
      </c>
      <c r="H2275" t="s">
        <v>133</v>
      </c>
      <c r="K2275" t="s">
        <v>259</v>
      </c>
      <c r="M2275" t="s">
        <v>137</v>
      </c>
      <c r="O2275" t="s">
        <v>161</v>
      </c>
    </row>
    <row r="2276" spans="1:20" x14ac:dyDescent="0.2">
      <c r="A2276" t="s">
        <v>1697</v>
      </c>
      <c r="B2276" t="s">
        <v>1698</v>
      </c>
      <c r="C2276" t="s">
        <v>1699</v>
      </c>
      <c r="D2276" t="s">
        <v>35</v>
      </c>
      <c r="E2276" t="s">
        <v>505</v>
      </c>
      <c r="F2276" t="s">
        <v>614</v>
      </c>
      <c r="G2276" t="s">
        <v>1706</v>
      </c>
      <c r="H2276" t="s">
        <v>133</v>
      </c>
      <c r="M2276" t="s">
        <v>137</v>
      </c>
      <c r="O2276" t="s">
        <v>161</v>
      </c>
      <c r="S2276" t="s">
        <v>6546</v>
      </c>
      <c r="T2276" t="s">
        <v>265</v>
      </c>
    </row>
    <row r="2277" spans="1:20" x14ac:dyDescent="0.2">
      <c r="A2277" t="s">
        <v>1697</v>
      </c>
      <c r="B2277" t="s">
        <v>1698</v>
      </c>
      <c r="C2277" t="s">
        <v>1699</v>
      </c>
      <c r="D2277" t="s">
        <v>61</v>
      </c>
      <c r="E2277" t="s">
        <v>255</v>
      </c>
      <c r="F2277" t="s">
        <v>614</v>
      </c>
      <c r="G2277" t="s">
        <v>1706</v>
      </c>
      <c r="H2277" t="s">
        <v>133</v>
      </c>
      <c r="K2277" t="s">
        <v>259</v>
      </c>
      <c r="M2277" t="s">
        <v>137</v>
      </c>
      <c r="O2277" t="s">
        <v>161</v>
      </c>
    </row>
    <row r="2278" spans="1:20" x14ac:dyDescent="0.2">
      <c r="A2278" t="s">
        <v>1707</v>
      </c>
      <c r="B2278" t="s">
        <v>1708</v>
      </c>
      <c r="C2278" t="s">
        <v>1709</v>
      </c>
      <c r="D2278" t="s">
        <v>61</v>
      </c>
      <c r="E2278" t="s">
        <v>133</v>
      </c>
      <c r="F2278" t="s">
        <v>510</v>
      </c>
      <c r="G2278" t="s">
        <v>133</v>
      </c>
      <c r="H2278" t="s">
        <v>133</v>
      </c>
      <c r="K2278" t="s">
        <v>1710</v>
      </c>
      <c r="M2278" t="s">
        <v>137</v>
      </c>
      <c r="O2278" t="s">
        <v>161</v>
      </c>
    </row>
    <row r="2279" spans="1:20" x14ac:dyDescent="0.2">
      <c r="A2279" t="s">
        <v>1707</v>
      </c>
      <c r="B2279" t="s">
        <v>1708</v>
      </c>
      <c r="C2279" t="s">
        <v>1709</v>
      </c>
      <c r="D2279" t="s">
        <v>61</v>
      </c>
      <c r="E2279" t="s">
        <v>133</v>
      </c>
      <c r="F2279" t="s">
        <v>606</v>
      </c>
      <c r="G2279" t="s">
        <v>133</v>
      </c>
      <c r="H2279" t="s">
        <v>133</v>
      </c>
      <c r="K2279" t="s">
        <v>1710</v>
      </c>
      <c r="M2279" t="s">
        <v>137</v>
      </c>
      <c r="O2279" t="s">
        <v>161</v>
      </c>
    </row>
    <row r="2280" spans="1:20" x14ac:dyDescent="0.2">
      <c r="A2280" t="s">
        <v>1707</v>
      </c>
      <c r="B2280" t="s">
        <v>1708</v>
      </c>
      <c r="C2280" t="s">
        <v>1709</v>
      </c>
      <c r="D2280" t="s">
        <v>61</v>
      </c>
      <c r="E2280" t="s">
        <v>133</v>
      </c>
      <c r="F2280" t="s">
        <v>614</v>
      </c>
      <c r="G2280" t="s">
        <v>133</v>
      </c>
      <c r="H2280" t="s">
        <v>133</v>
      </c>
      <c r="K2280" t="s">
        <v>1710</v>
      </c>
      <c r="M2280" t="s">
        <v>137</v>
      </c>
      <c r="O2280" t="s">
        <v>161</v>
      </c>
    </row>
    <row r="2281" spans="1:20" x14ac:dyDescent="0.2">
      <c r="A2281" t="s">
        <v>1707</v>
      </c>
      <c r="B2281" t="s">
        <v>1708</v>
      </c>
      <c r="C2281" t="s">
        <v>1709</v>
      </c>
      <c r="D2281" t="s">
        <v>61</v>
      </c>
      <c r="E2281" t="s">
        <v>133</v>
      </c>
      <c r="F2281" t="s">
        <v>997</v>
      </c>
      <c r="G2281" t="s">
        <v>133</v>
      </c>
      <c r="H2281" t="s">
        <v>133</v>
      </c>
      <c r="K2281" t="s">
        <v>1710</v>
      </c>
      <c r="M2281" t="s">
        <v>137</v>
      </c>
      <c r="O2281" t="s">
        <v>161</v>
      </c>
    </row>
    <row r="2282" spans="1:20" x14ac:dyDescent="0.2">
      <c r="A2282" t="s">
        <v>1711</v>
      </c>
      <c r="B2282" t="s">
        <v>1712</v>
      </c>
      <c r="C2282" t="s">
        <v>1713</v>
      </c>
      <c r="D2282" t="s">
        <v>61</v>
      </c>
      <c r="E2282" t="s">
        <v>133</v>
      </c>
      <c r="F2282" t="s">
        <v>133</v>
      </c>
      <c r="G2282" t="s">
        <v>133</v>
      </c>
      <c r="H2282" t="s">
        <v>133</v>
      </c>
      <c r="K2282" t="s">
        <v>1714</v>
      </c>
      <c r="M2282" t="s">
        <v>137</v>
      </c>
      <c r="O2282" t="s">
        <v>161</v>
      </c>
    </row>
    <row r="2283" spans="1:20" x14ac:dyDescent="0.2">
      <c r="A2283" t="s">
        <v>29</v>
      </c>
      <c r="B2283" t="s">
        <v>30</v>
      </c>
      <c r="C2283" t="s">
        <v>1715</v>
      </c>
      <c r="D2283" t="s">
        <v>24</v>
      </c>
      <c r="E2283" t="s">
        <v>133</v>
      </c>
      <c r="F2283" t="s">
        <v>665</v>
      </c>
      <c r="G2283" t="s">
        <v>1716</v>
      </c>
      <c r="H2283" t="s">
        <v>133</v>
      </c>
      <c r="O2283" t="s">
        <v>161</v>
      </c>
      <c r="P2283">
        <v>4.2000104200020396E+62</v>
      </c>
      <c r="S2283" t="s">
        <v>615</v>
      </c>
      <c r="T2283" t="s">
        <v>265</v>
      </c>
    </row>
    <row r="2284" spans="1:20" x14ac:dyDescent="0.2">
      <c r="A2284" t="s">
        <v>29</v>
      </c>
      <c r="B2284" t="s">
        <v>30</v>
      </c>
      <c r="C2284" t="s">
        <v>1715</v>
      </c>
      <c r="D2284" t="s">
        <v>24</v>
      </c>
      <c r="E2284" t="s">
        <v>133</v>
      </c>
      <c r="F2284" t="s">
        <v>997</v>
      </c>
      <c r="G2284" t="s">
        <v>1716</v>
      </c>
      <c r="H2284" t="s">
        <v>133</v>
      </c>
      <c r="O2284" t="s">
        <v>161</v>
      </c>
      <c r="P2284">
        <v>4.2000104200020396E+62</v>
      </c>
      <c r="S2284" t="s">
        <v>998</v>
      </c>
      <c r="T2284" t="s">
        <v>265</v>
      </c>
    </row>
    <row r="2285" spans="1:20" x14ac:dyDescent="0.2">
      <c r="A2285" t="s">
        <v>22</v>
      </c>
      <c r="B2285" t="s">
        <v>23</v>
      </c>
      <c r="C2285" t="s">
        <v>20</v>
      </c>
      <c r="D2285" t="s">
        <v>24</v>
      </c>
      <c r="E2285" t="s">
        <v>133</v>
      </c>
      <c r="F2285" t="s">
        <v>1717</v>
      </c>
      <c r="G2285" t="s">
        <v>6547</v>
      </c>
      <c r="M2285" t="s">
        <v>137</v>
      </c>
      <c r="O2285" t="s">
        <v>161</v>
      </c>
      <c r="S2285" t="s">
        <v>6546</v>
      </c>
      <c r="T2285" t="s">
        <v>265</v>
      </c>
    </row>
    <row r="2286" spans="1:20" x14ac:dyDescent="0.2">
      <c r="A2286" t="s">
        <v>76</v>
      </c>
      <c r="B2286" t="s">
        <v>77</v>
      </c>
      <c r="C2286" t="s">
        <v>78</v>
      </c>
      <c r="D2286" t="s">
        <v>24</v>
      </c>
      <c r="E2286" t="s">
        <v>133</v>
      </c>
      <c r="F2286" t="s">
        <v>510</v>
      </c>
      <c r="G2286" t="s">
        <v>1719</v>
      </c>
      <c r="M2286" t="s">
        <v>137</v>
      </c>
      <c r="O2286" t="s">
        <v>150</v>
      </c>
      <c r="S2286" t="s">
        <v>6546</v>
      </c>
      <c r="T2286" t="s">
        <v>265</v>
      </c>
    </row>
    <row r="2287" spans="1:20" x14ac:dyDescent="0.2">
      <c r="A2287" t="s">
        <v>76</v>
      </c>
      <c r="B2287" t="s">
        <v>77</v>
      </c>
      <c r="C2287" t="s">
        <v>78</v>
      </c>
      <c r="D2287" t="s">
        <v>24</v>
      </c>
      <c r="E2287" t="s">
        <v>133</v>
      </c>
      <c r="F2287" t="s">
        <v>606</v>
      </c>
      <c r="G2287" t="s">
        <v>1719</v>
      </c>
      <c r="M2287" t="s">
        <v>137</v>
      </c>
      <c r="O2287" t="s">
        <v>150</v>
      </c>
      <c r="S2287" t="s">
        <v>6546</v>
      </c>
      <c r="T2287" t="s">
        <v>265</v>
      </c>
    </row>
    <row r="2288" spans="1:20" x14ac:dyDescent="0.2">
      <c r="A2288" t="s">
        <v>76</v>
      </c>
      <c r="B2288" t="s">
        <v>77</v>
      </c>
      <c r="C2288" t="s">
        <v>78</v>
      </c>
      <c r="D2288" t="s">
        <v>24</v>
      </c>
      <c r="E2288" t="s">
        <v>133</v>
      </c>
      <c r="F2288" t="s">
        <v>1720</v>
      </c>
      <c r="G2288" t="s">
        <v>1719</v>
      </c>
      <c r="M2288" t="s">
        <v>137</v>
      </c>
      <c r="O2288" t="s">
        <v>150</v>
      </c>
      <c r="S2288" t="s">
        <v>6546</v>
      </c>
      <c r="T2288" t="s">
        <v>265</v>
      </c>
    </row>
    <row r="2289" spans="1:20" x14ac:dyDescent="0.2">
      <c r="A2289" t="s">
        <v>76</v>
      </c>
      <c r="B2289" t="s">
        <v>77</v>
      </c>
      <c r="C2289" t="s">
        <v>78</v>
      </c>
      <c r="D2289" t="s">
        <v>24</v>
      </c>
      <c r="E2289" t="s">
        <v>133</v>
      </c>
      <c r="F2289" t="s">
        <v>997</v>
      </c>
      <c r="G2289" t="s">
        <v>1719</v>
      </c>
      <c r="M2289" t="s">
        <v>137</v>
      </c>
      <c r="O2289" t="s">
        <v>150</v>
      </c>
      <c r="S2289" t="s">
        <v>998</v>
      </c>
      <c r="T2289" t="s">
        <v>265</v>
      </c>
    </row>
    <row r="2290" spans="1:20" x14ac:dyDescent="0.2">
      <c r="A2290" t="s">
        <v>6548</v>
      </c>
      <c r="B2290" t="s">
        <v>6549</v>
      </c>
      <c r="C2290" t="s">
        <v>6550</v>
      </c>
      <c r="D2290" t="s">
        <v>35</v>
      </c>
      <c r="E2290" t="s">
        <v>133</v>
      </c>
      <c r="F2290" t="s">
        <v>510</v>
      </c>
      <c r="G2290" t="s">
        <v>6551</v>
      </c>
      <c r="M2290" t="s">
        <v>137</v>
      </c>
      <c r="O2290" t="s">
        <v>161</v>
      </c>
      <c r="S2290" t="s">
        <v>506</v>
      </c>
      <c r="T2290" t="s">
        <v>265</v>
      </c>
    </row>
    <row r="2291" spans="1:20" x14ac:dyDescent="0.2">
      <c r="A2291" t="s">
        <v>6548</v>
      </c>
      <c r="B2291" t="s">
        <v>6549</v>
      </c>
      <c r="C2291" t="s">
        <v>6550</v>
      </c>
      <c r="D2291" t="s">
        <v>35</v>
      </c>
      <c r="E2291" t="s">
        <v>133</v>
      </c>
      <c r="F2291" t="s">
        <v>606</v>
      </c>
      <c r="G2291" t="s">
        <v>6551</v>
      </c>
      <c r="M2291" t="s">
        <v>137</v>
      </c>
      <c r="O2291" t="s">
        <v>161</v>
      </c>
      <c r="S2291" t="s">
        <v>6546</v>
      </c>
      <c r="T2291" t="s">
        <v>265</v>
      </c>
    </row>
    <row r="2292" spans="1:20" x14ac:dyDescent="0.2">
      <c r="A2292" t="s">
        <v>6548</v>
      </c>
      <c r="B2292" t="s">
        <v>6549</v>
      </c>
      <c r="C2292" t="s">
        <v>6550</v>
      </c>
      <c r="D2292" t="s">
        <v>35</v>
      </c>
      <c r="E2292" t="s">
        <v>133</v>
      </c>
      <c r="F2292" t="s">
        <v>665</v>
      </c>
      <c r="G2292" t="s">
        <v>6551</v>
      </c>
      <c r="M2292" t="s">
        <v>137</v>
      </c>
      <c r="O2292" t="s">
        <v>161</v>
      </c>
      <c r="S2292" t="s">
        <v>6546</v>
      </c>
      <c r="T2292" t="s">
        <v>265</v>
      </c>
    </row>
    <row r="2293" spans="1:20" x14ac:dyDescent="0.2">
      <c r="A2293" t="s">
        <v>6548</v>
      </c>
      <c r="B2293" t="s">
        <v>6549</v>
      </c>
      <c r="C2293" t="s">
        <v>6550</v>
      </c>
      <c r="D2293" t="s">
        <v>35</v>
      </c>
      <c r="E2293" t="s">
        <v>133</v>
      </c>
      <c r="F2293" t="s">
        <v>997</v>
      </c>
      <c r="G2293" t="s">
        <v>6551</v>
      </c>
      <c r="M2293" t="s">
        <v>137</v>
      </c>
      <c r="O2293" t="s">
        <v>161</v>
      </c>
      <c r="S2293" t="s">
        <v>998</v>
      </c>
      <c r="T2293" t="s">
        <v>265</v>
      </c>
    </row>
    <row r="2294" spans="1:20" x14ac:dyDescent="0.2">
      <c r="A2294" t="s">
        <v>1721</v>
      </c>
      <c r="B2294" t="s">
        <v>1722</v>
      </c>
      <c r="C2294" t="s">
        <v>1723</v>
      </c>
      <c r="D2294" t="s">
        <v>14</v>
      </c>
      <c r="E2294" t="s">
        <v>133</v>
      </c>
      <c r="F2294" t="s">
        <v>133</v>
      </c>
      <c r="G2294" t="s">
        <v>133</v>
      </c>
      <c r="K2294" t="s">
        <v>1724</v>
      </c>
      <c r="M2294" t="s">
        <v>137</v>
      </c>
      <c r="O2294" t="s">
        <v>161</v>
      </c>
    </row>
    <row r="2295" spans="1:20" x14ac:dyDescent="0.2">
      <c r="A2295" t="s">
        <v>47</v>
      </c>
      <c r="B2295" t="s">
        <v>48</v>
      </c>
      <c r="C2295" t="s">
        <v>49</v>
      </c>
      <c r="D2295" t="s">
        <v>14</v>
      </c>
      <c r="E2295" t="s">
        <v>133</v>
      </c>
      <c r="F2295" t="s">
        <v>133</v>
      </c>
      <c r="G2295" t="s">
        <v>133</v>
      </c>
      <c r="K2295" t="s">
        <v>50</v>
      </c>
      <c r="O2295" t="s">
        <v>161</v>
      </c>
    </row>
    <row r="2296" spans="1:20" x14ac:dyDescent="0.2">
      <c r="A2296" t="s">
        <v>1725</v>
      </c>
      <c r="B2296" t="s">
        <v>1726</v>
      </c>
      <c r="C2296" t="s">
        <v>1727</v>
      </c>
      <c r="D2296" t="s">
        <v>14</v>
      </c>
      <c r="E2296" t="s">
        <v>133</v>
      </c>
      <c r="F2296" t="s">
        <v>133</v>
      </c>
      <c r="G2296" t="s">
        <v>1728</v>
      </c>
      <c r="K2296" t="s">
        <v>1729</v>
      </c>
      <c r="O2296" t="s">
        <v>161</v>
      </c>
    </row>
    <row r="2297" spans="1:20" x14ac:dyDescent="0.2">
      <c r="A2297" t="s">
        <v>93</v>
      </c>
      <c r="B2297" t="s">
        <v>94</v>
      </c>
      <c r="C2297" t="s">
        <v>95</v>
      </c>
      <c r="D2297" t="s">
        <v>14</v>
      </c>
      <c r="E2297" t="s">
        <v>133</v>
      </c>
      <c r="F2297" t="s">
        <v>133</v>
      </c>
      <c r="G2297" t="s">
        <v>133</v>
      </c>
      <c r="K2297" t="s">
        <v>96</v>
      </c>
      <c r="O2297" t="s">
        <v>150</v>
      </c>
    </row>
    <row r="2298" spans="1:20" x14ac:dyDescent="0.2">
      <c r="A2298" t="s">
        <v>97</v>
      </c>
      <c r="B2298" t="s">
        <v>98</v>
      </c>
      <c r="C2298" t="s">
        <v>99</v>
      </c>
      <c r="D2298" t="s">
        <v>14</v>
      </c>
      <c r="E2298" t="s">
        <v>133</v>
      </c>
      <c r="F2298" t="s">
        <v>133</v>
      </c>
      <c r="G2298" t="s">
        <v>133</v>
      </c>
      <c r="K2298" t="s">
        <v>100</v>
      </c>
      <c r="O2298" t="s">
        <v>150</v>
      </c>
    </row>
    <row r="2299" spans="1:20" x14ac:dyDescent="0.2">
      <c r="A2299" t="s">
        <v>104</v>
      </c>
      <c r="B2299" t="s">
        <v>105</v>
      </c>
      <c r="C2299" t="s">
        <v>106</v>
      </c>
      <c r="D2299" t="s">
        <v>14</v>
      </c>
      <c r="E2299" t="s">
        <v>133</v>
      </c>
      <c r="F2299" t="s">
        <v>133</v>
      </c>
      <c r="G2299" t="s">
        <v>133</v>
      </c>
      <c r="K2299" t="s">
        <v>107</v>
      </c>
      <c r="O2299" t="s">
        <v>150</v>
      </c>
    </row>
    <row r="2300" spans="1:20" x14ac:dyDescent="0.2">
      <c r="A2300" t="s">
        <v>83</v>
      </c>
      <c r="B2300" t="s">
        <v>84</v>
      </c>
      <c r="C2300" t="s">
        <v>85</v>
      </c>
      <c r="D2300" t="s">
        <v>14</v>
      </c>
      <c r="E2300" t="s">
        <v>133</v>
      </c>
      <c r="F2300" t="s">
        <v>133</v>
      </c>
      <c r="G2300" t="s">
        <v>133</v>
      </c>
      <c r="K2300" t="s">
        <v>86</v>
      </c>
      <c r="O2300" t="s">
        <v>150</v>
      </c>
    </row>
    <row r="2301" spans="1:20" x14ac:dyDescent="0.2">
      <c r="A2301" t="s">
        <v>79</v>
      </c>
      <c r="B2301" t="s">
        <v>80</v>
      </c>
      <c r="C2301" t="s">
        <v>81</v>
      </c>
      <c r="D2301" t="s">
        <v>14</v>
      </c>
      <c r="E2301" t="s">
        <v>133</v>
      </c>
      <c r="F2301" t="s">
        <v>133</v>
      </c>
      <c r="G2301" t="s">
        <v>133</v>
      </c>
      <c r="K2301" t="s">
        <v>82</v>
      </c>
      <c r="O2301" t="s">
        <v>150</v>
      </c>
    </row>
    <row r="2302" spans="1:20" x14ac:dyDescent="0.2">
      <c r="A2302" t="s">
        <v>54</v>
      </c>
      <c r="B2302" t="s">
        <v>55</v>
      </c>
      <c r="C2302" t="s">
        <v>56</v>
      </c>
      <c r="D2302" t="s">
        <v>14</v>
      </c>
      <c r="E2302" t="s">
        <v>133</v>
      </c>
      <c r="F2302" t="s">
        <v>133</v>
      </c>
      <c r="G2302" t="s">
        <v>133</v>
      </c>
      <c r="K2302" t="s">
        <v>6552</v>
      </c>
      <c r="L2302" t="s">
        <v>135</v>
      </c>
      <c r="O2302" t="s">
        <v>161</v>
      </c>
    </row>
    <row r="2303" spans="1:20" x14ac:dyDescent="0.2">
      <c r="A2303" t="s">
        <v>43</v>
      </c>
      <c r="B2303" t="s">
        <v>44</v>
      </c>
      <c r="C2303" t="s">
        <v>45</v>
      </c>
      <c r="D2303" t="s">
        <v>14</v>
      </c>
      <c r="E2303" t="s">
        <v>133</v>
      </c>
      <c r="F2303" t="s">
        <v>133</v>
      </c>
      <c r="G2303" t="s">
        <v>133</v>
      </c>
      <c r="K2303" t="s">
        <v>46</v>
      </c>
      <c r="L2303" t="s">
        <v>135</v>
      </c>
      <c r="O2303" t="s">
        <v>161</v>
      </c>
    </row>
    <row r="2304" spans="1:20" x14ac:dyDescent="0.2">
      <c r="A2304" t="s">
        <v>1730</v>
      </c>
      <c r="B2304" t="s">
        <v>1731</v>
      </c>
      <c r="C2304" t="s">
        <v>1732</v>
      </c>
      <c r="D2304" t="s">
        <v>14</v>
      </c>
      <c r="E2304" t="s">
        <v>133</v>
      </c>
      <c r="F2304" t="s">
        <v>133</v>
      </c>
      <c r="G2304" t="s">
        <v>133</v>
      </c>
      <c r="K2304" t="s">
        <v>1733</v>
      </c>
      <c r="O2304" t="s">
        <v>161</v>
      </c>
    </row>
    <row r="2305" spans="1:19" x14ac:dyDescent="0.2">
      <c r="A2305" t="s">
        <v>1734</v>
      </c>
      <c r="B2305" t="s">
        <v>1735</v>
      </c>
      <c r="C2305" t="s">
        <v>1736</v>
      </c>
      <c r="D2305" t="s">
        <v>14</v>
      </c>
      <c r="E2305" t="s">
        <v>133</v>
      </c>
      <c r="F2305" t="s">
        <v>133</v>
      </c>
      <c r="G2305" t="s">
        <v>133</v>
      </c>
      <c r="K2305" t="s">
        <v>1737</v>
      </c>
      <c r="O2305" t="s">
        <v>161</v>
      </c>
    </row>
    <row r="2306" spans="1:19" x14ac:dyDescent="0.2">
      <c r="A2306" t="s">
        <v>1738</v>
      </c>
      <c r="B2306" t="s">
        <v>1739</v>
      </c>
      <c r="C2306" t="s">
        <v>1740</v>
      </c>
      <c r="D2306" t="s">
        <v>14</v>
      </c>
      <c r="E2306" t="s">
        <v>133</v>
      </c>
      <c r="F2306" t="s">
        <v>133</v>
      </c>
      <c r="G2306" t="s">
        <v>133</v>
      </c>
      <c r="K2306" t="s">
        <v>1741</v>
      </c>
      <c r="L2306" t="s">
        <v>135</v>
      </c>
      <c r="O2306" t="s">
        <v>161</v>
      </c>
    </row>
    <row r="2307" spans="1:19" x14ac:dyDescent="0.2">
      <c r="A2307" t="s">
        <v>1742</v>
      </c>
      <c r="B2307" t="s">
        <v>1743</v>
      </c>
      <c r="C2307" t="s">
        <v>1744</v>
      </c>
      <c r="D2307" t="s">
        <v>14</v>
      </c>
      <c r="E2307" t="s">
        <v>133</v>
      </c>
      <c r="F2307" t="s">
        <v>133</v>
      </c>
      <c r="G2307" t="s">
        <v>1745</v>
      </c>
      <c r="K2307" t="s">
        <v>264</v>
      </c>
      <c r="L2307" t="s">
        <v>135</v>
      </c>
      <c r="O2307" t="s">
        <v>161</v>
      </c>
    </row>
    <row r="2308" spans="1:19" x14ac:dyDescent="0.2">
      <c r="A2308" t="s">
        <v>1746</v>
      </c>
      <c r="B2308" t="s">
        <v>1747</v>
      </c>
      <c r="C2308" t="s">
        <v>1748</v>
      </c>
      <c r="D2308" t="s">
        <v>14</v>
      </c>
      <c r="E2308" t="s">
        <v>133</v>
      </c>
      <c r="F2308" t="s">
        <v>133</v>
      </c>
      <c r="G2308" t="s">
        <v>133</v>
      </c>
      <c r="K2308" t="s">
        <v>1749</v>
      </c>
      <c r="O2308" t="s">
        <v>161</v>
      </c>
    </row>
    <row r="2309" spans="1:19" x14ac:dyDescent="0.2">
      <c r="A2309" t="s">
        <v>1750</v>
      </c>
      <c r="B2309" t="s">
        <v>1751</v>
      </c>
      <c r="C2309" t="s">
        <v>1752</v>
      </c>
      <c r="D2309" t="s">
        <v>14</v>
      </c>
      <c r="E2309" t="s">
        <v>133</v>
      </c>
      <c r="F2309" t="s">
        <v>133</v>
      </c>
      <c r="G2309" t="s">
        <v>133</v>
      </c>
      <c r="K2309" t="s">
        <v>1753</v>
      </c>
      <c r="O2309" t="s">
        <v>150</v>
      </c>
    </row>
    <row r="2310" spans="1:19" x14ac:dyDescent="0.2">
      <c r="A2310" t="s">
        <v>1754</v>
      </c>
      <c r="B2310" t="s">
        <v>1755</v>
      </c>
      <c r="C2310" t="s">
        <v>1756</v>
      </c>
      <c r="D2310" t="s">
        <v>14</v>
      </c>
      <c r="E2310" t="s">
        <v>133</v>
      </c>
      <c r="F2310" t="s">
        <v>133</v>
      </c>
      <c r="G2310" t="s">
        <v>133</v>
      </c>
      <c r="K2310" t="s">
        <v>1757</v>
      </c>
      <c r="O2310" t="s">
        <v>150</v>
      </c>
      <c r="Q2310" t="s">
        <v>1757</v>
      </c>
    </row>
    <row r="2311" spans="1:19" x14ac:dyDescent="0.2">
      <c r="A2311" t="s">
        <v>1758</v>
      </c>
      <c r="B2311" t="s">
        <v>1759</v>
      </c>
      <c r="C2311" t="s">
        <v>1760</v>
      </c>
      <c r="D2311" t="s">
        <v>14</v>
      </c>
      <c r="E2311" t="s">
        <v>133</v>
      </c>
      <c r="F2311" t="s">
        <v>133</v>
      </c>
      <c r="G2311" t="s">
        <v>133</v>
      </c>
      <c r="K2311" t="s">
        <v>1761</v>
      </c>
      <c r="O2311" t="s">
        <v>150</v>
      </c>
      <c r="Q2311" t="s">
        <v>1761</v>
      </c>
    </row>
    <row r="2312" spans="1:19" x14ac:dyDescent="0.2">
      <c r="A2312" t="s">
        <v>1762</v>
      </c>
      <c r="B2312" t="s">
        <v>1763</v>
      </c>
      <c r="C2312" t="s">
        <v>1764</v>
      </c>
      <c r="D2312" t="s">
        <v>14</v>
      </c>
      <c r="E2312" t="s">
        <v>133</v>
      </c>
      <c r="F2312" t="s">
        <v>997</v>
      </c>
      <c r="G2312" t="s">
        <v>133</v>
      </c>
      <c r="K2312" t="s">
        <v>1765</v>
      </c>
      <c r="S2312" t="s">
        <v>998</v>
      </c>
    </row>
    <row r="2313" spans="1:19" x14ac:dyDescent="0.2">
      <c r="A2313" t="s">
        <v>1766</v>
      </c>
      <c r="B2313" t="s">
        <v>1767</v>
      </c>
      <c r="C2313" t="s">
        <v>1768</v>
      </c>
      <c r="D2313" t="s">
        <v>14</v>
      </c>
      <c r="E2313" t="s">
        <v>133</v>
      </c>
      <c r="F2313" t="s">
        <v>997</v>
      </c>
      <c r="G2313" t="s">
        <v>133</v>
      </c>
      <c r="K2313" t="s">
        <v>1769</v>
      </c>
      <c r="S2313" t="s">
        <v>998</v>
      </c>
    </row>
    <row r="2314" spans="1:19" x14ac:dyDescent="0.2">
      <c r="A2314" t="s">
        <v>1770</v>
      </c>
      <c r="B2314" t="s">
        <v>1771</v>
      </c>
      <c r="C2314" t="s">
        <v>1772</v>
      </c>
      <c r="D2314" t="s">
        <v>14</v>
      </c>
      <c r="E2314" t="s">
        <v>133</v>
      </c>
      <c r="F2314" t="s">
        <v>997</v>
      </c>
      <c r="G2314" t="s">
        <v>133</v>
      </c>
      <c r="K2314" t="s">
        <v>1773</v>
      </c>
      <c r="M2314" t="s">
        <v>137</v>
      </c>
      <c r="O2314" t="s">
        <v>161</v>
      </c>
      <c r="S2314" t="s">
        <v>998</v>
      </c>
    </row>
    <row r="2315" spans="1:19" x14ac:dyDescent="0.2">
      <c r="A2315" t="s">
        <v>1774</v>
      </c>
      <c r="B2315" t="s">
        <v>1775</v>
      </c>
      <c r="C2315" t="s">
        <v>1776</v>
      </c>
      <c r="D2315" t="s">
        <v>24</v>
      </c>
      <c r="E2315" t="s">
        <v>133</v>
      </c>
      <c r="F2315" t="s">
        <v>997</v>
      </c>
      <c r="G2315" t="s">
        <v>133</v>
      </c>
      <c r="M2315" t="s">
        <v>282</v>
      </c>
      <c r="O2315" t="s">
        <v>161</v>
      </c>
      <c r="P2315">
        <v>4101091</v>
      </c>
      <c r="S2315" t="s">
        <v>998</v>
      </c>
    </row>
    <row r="2316" spans="1:19" x14ac:dyDescent="0.2">
      <c r="A2316" t="s">
        <v>1777</v>
      </c>
      <c r="B2316" t="s">
        <v>1778</v>
      </c>
      <c r="C2316" t="s">
        <v>1779</v>
      </c>
      <c r="D2316" t="s">
        <v>24</v>
      </c>
      <c r="E2316" t="s">
        <v>133</v>
      </c>
      <c r="F2316" t="s">
        <v>997</v>
      </c>
      <c r="G2316" t="s">
        <v>133</v>
      </c>
      <c r="M2316" t="s">
        <v>282</v>
      </c>
      <c r="O2316" t="s">
        <v>161</v>
      </c>
      <c r="P2316">
        <v>4101010</v>
      </c>
      <c r="S2316" t="s">
        <v>998</v>
      </c>
    </row>
    <row r="2317" spans="1:19" x14ac:dyDescent="0.2">
      <c r="A2317" t="s">
        <v>1780</v>
      </c>
      <c r="B2317" t="s">
        <v>1781</v>
      </c>
      <c r="C2317" t="s">
        <v>1782</v>
      </c>
      <c r="D2317" t="s">
        <v>14</v>
      </c>
      <c r="E2317" t="s">
        <v>133</v>
      </c>
      <c r="F2317" t="s">
        <v>997</v>
      </c>
      <c r="G2317" t="s">
        <v>133</v>
      </c>
      <c r="K2317" t="s">
        <v>1783</v>
      </c>
      <c r="M2317" t="s">
        <v>137</v>
      </c>
      <c r="O2317" t="s">
        <v>161</v>
      </c>
      <c r="S2317" t="s">
        <v>998</v>
      </c>
    </row>
    <row r="2318" spans="1:19" x14ac:dyDescent="0.2">
      <c r="A2318" t="s">
        <v>1784</v>
      </c>
      <c r="B2318" t="s">
        <v>1785</v>
      </c>
      <c r="C2318" t="s">
        <v>1786</v>
      </c>
      <c r="D2318" t="s">
        <v>24</v>
      </c>
      <c r="E2318" t="s">
        <v>133</v>
      </c>
      <c r="F2318" t="s">
        <v>997</v>
      </c>
      <c r="G2318" t="s">
        <v>133</v>
      </c>
      <c r="M2318" t="s">
        <v>282</v>
      </c>
      <c r="O2318" t="s">
        <v>161</v>
      </c>
      <c r="S2318" t="s">
        <v>998</v>
      </c>
    </row>
    <row r="2319" spans="1:19" x14ac:dyDescent="0.2">
      <c r="A2319" t="s">
        <v>1787</v>
      </c>
      <c r="B2319" t="s">
        <v>1788</v>
      </c>
      <c r="C2319" t="s">
        <v>1789</v>
      </c>
      <c r="D2319" t="s">
        <v>14</v>
      </c>
      <c r="E2319" t="s">
        <v>133</v>
      </c>
      <c r="F2319" t="s">
        <v>997</v>
      </c>
      <c r="G2319" t="s">
        <v>133</v>
      </c>
      <c r="K2319" t="s">
        <v>1790</v>
      </c>
      <c r="M2319" t="s">
        <v>137</v>
      </c>
      <c r="O2319" t="s">
        <v>161</v>
      </c>
      <c r="S2319" t="s">
        <v>998</v>
      </c>
    </row>
    <row r="2320" spans="1:19" x14ac:dyDescent="0.2">
      <c r="A2320" t="s">
        <v>1791</v>
      </c>
      <c r="B2320" t="s">
        <v>1792</v>
      </c>
      <c r="C2320" t="s">
        <v>1793</v>
      </c>
      <c r="D2320" t="s">
        <v>24</v>
      </c>
      <c r="E2320" t="s">
        <v>133</v>
      </c>
      <c r="F2320" t="s">
        <v>997</v>
      </c>
      <c r="G2320" t="s">
        <v>133</v>
      </c>
      <c r="M2320" t="s">
        <v>282</v>
      </c>
      <c r="O2320" t="s">
        <v>161</v>
      </c>
      <c r="S2320" t="s">
        <v>998</v>
      </c>
    </row>
    <row r="2321" spans="1:19" x14ac:dyDescent="0.2">
      <c r="A2321" t="s">
        <v>1794</v>
      </c>
      <c r="B2321" t="s">
        <v>1795</v>
      </c>
      <c r="C2321" t="s">
        <v>1796</v>
      </c>
      <c r="D2321" t="s">
        <v>24</v>
      </c>
      <c r="E2321" t="s">
        <v>133</v>
      </c>
      <c r="F2321" t="s">
        <v>997</v>
      </c>
      <c r="G2321" t="s">
        <v>133</v>
      </c>
      <c r="M2321" t="s">
        <v>137</v>
      </c>
      <c r="O2321" t="s">
        <v>161</v>
      </c>
      <c r="S2321" t="s">
        <v>998</v>
      </c>
    </row>
    <row r="2322" spans="1:19" x14ac:dyDescent="0.2">
      <c r="A2322" t="s">
        <v>1797</v>
      </c>
      <c r="B2322" t="s">
        <v>1798</v>
      </c>
      <c r="C2322" t="s">
        <v>1799</v>
      </c>
      <c r="D2322" t="s">
        <v>14</v>
      </c>
      <c r="E2322" t="s">
        <v>133</v>
      </c>
      <c r="F2322" t="s">
        <v>997</v>
      </c>
      <c r="G2322" t="s">
        <v>133</v>
      </c>
      <c r="K2322" t="s">
        <v>1800</v>
      </c>
      <c r="M2322" t="s">
        <v>137</v>
      </c>
      <c r="O2322" t="s">
        <v>161</v>
      </c>
      <c r="S2322" t="s">
        <v>998</v>
      </c>
    </row>
    <row r="2323" spans="1:19" x14ac:dyDescent="0.2">
      <c r="A2323" t="s">
        <v>1801</v>
      </c>
      <c r="B2323" t="s">
        <v>1802</v>
      </c>
      <c r="C2323" t="s">
        <v>1803</v>
      </c>
      <c r="D2323" t="s">
        <v>14</v>
      </c>
      <c r="E2323" t="s">
        <v>133</v>
      </c>
      <c r="F2323" t="s">
        <v>997</v>
      </c>
      <c r="G2323" t="s">
        <v>133</v>
      </c>
      <c r="K2323" t="s">
        <v>1804</v>
      </c>
      <c r="S2323" t="s">
        <v>998</v>
      </c>
    </row>
    <row r="2324" spans="1:19" x14ac:dyDescent="0.2">
      <c r="A2324" t="s">
        <v>1805</v>
      </c>
      <c r="B2324" t="s">
        <v>1806</v>
      </c>
      <c r="C2324" t="s">
        <v>1807</v>
      </c>
      <c r="D2324" t="s">
        <v>14</v>
      </c>
      <c r="E2324" t="s">
        <v>133</v>
      </c>
      <c r="F2324" t="s">
        <v>997</v>
      </c>
      <c r="G2324" t="s">
        <v>133</v>
      </c>
      <c r="K2324" t="s">
        <v>6553</v>
      </c>
      <c r="M2324" t="s">
        <v>137</v>
      </c>
      <c r="O2324" t="s">
        <v>161</v>
      </c>
      <c r="S2324" t="s">
        <v>998</v>
      </c>
    </row>
    <row r="2325" spans="1:19" x14ac:dyDescent="0.2">
      <c r="A2325" t="s">
        <v>1809</v>
      </c>
      <c r="B2325" t="s">
        <v>1810</v>
      </c>
      <c r="C2325" t="s">
        <v>1811</v>
      </c>
      <c r="D2325" t="s">
        <v>14</v>
      </c>
      <c r="E2325" t="s">
        <v>133</v>
      </c>
      <c r="F2325" t="s">
        <v>997</v>
      </c>
      <c r="G2325" t="s">
        <v>133</v>
      </c>
      <c r="K2325" t="s">
        <v>1812</v>
      </c>
      <c r="M2325" t="s">
        <v>137</v>
      </c>
      <c r="O2325" t="s">
        <v>161</v>
      </c>
      <c r="S2325" t="s">
        <v>998</v>
      </c>
    </row>
    <row r="2326" spans="1:19" x14ac:dyDescent="0.2">
      <c r="A2326" t="s">
        <v>1813</v>
      </c>
      <c r="B2326" t="s">
        <v>1814</v>
      </c>
      <c r="C2326" t="s">
        <v>1815</v>
      </c>
      <c r="D2326" t="s">
        <v>24</v>
      </c>
      <c r="E2326" t="s">
        <v>133</v>
      </c>
      <c r="F2326" t="s">
        <v>997</v>
      </c>
      <c r="G2326" t="s">
        <v>133</v>
      </c>
      <c r="M2326" t="s">
        <v>137</v>
      </c>
      <c r="O2326" t="s">
        <v>161</v>
      </c>
      <c r="P2326">
        <v>4200020</v>
      </c>
      <c r="S2326" t="s">
        <v>998</v>
      </c>
    </row>
    <row r="2327" spans="1:19" x14ac:dyDescent="0.2">
      <c r="A2327" t="s">
        <v>1816</v>
      </c>
      <c r="B2327" t="s">
        <v>1817</v>
      </c>
      <c r="C2327" t="s">
        <v>1818</v>
      </c>
      <c r="D2327" t="s">
        <v>24</v>
      </c>
      <c r="E2327" t="s">
        <v>133</v>
      </c>
      <c r="F2327" t="s">
        <v>997</v>
      </c>
      <c r="G2327" t="s">
        <v>133</v>
      </c>
      <c r="M2327" t="s">
        <v>137</v>
      </c>
      <c r="O2327" t="s">
        <v>161</v>
      </c>
      <c r="S2327" t="s">
        <v>998</v>
      </c>
    </row>
    <row r="2328" spans="1:19" x14ac:dyDescent="0.2">
      <c r="A2328" t="s">
        <v>1819</v>
      </c>
      <c r="B2328" t="s">
        <v>1820</v>
      </c>
      <c r="C2328" t="s">
        <v>1821</v>
      </c>
      <c r="D2328" t="s">
        <v>24</v>
      </c>
      <c r="E2328" t="s">
        <v>133</v>
      </c>
      <c r="F2328" t="s">
        <v>997</v>
      </c>
      <c r="G2328" t="s">
        <v>133</v>
      </c>
      <c r="M2328" t="s">
        <v>137</v>
      </c>
      <c r="O2328" t="s">
        <v>161</v>
      </c>
      <c r="P2328">
        <v>4200021</v>
      </c>
      <c r="S2328" t="s">
        <v>998</v>
      </c>
    </row>
    <row r="2329" spans="1:19" x14ac:dyDescent="0.2">
      <c r="A2329" t="s">
        <v>1822</v>
      </c>
      <c r="B2329" t="s">
        <v>1823</v>
      </c>
      <c r="C2329" t="s">
        <v>1824</v>
      </c>
      <c r="D2329" t="s">
        <v>14</v>
      </c>
      <c r="E2329" t="s">
        <v>133</v>
      </c>
      <c r="F2329" t="s">
        <v>997</v>
      </c>
      <c r="G2329" t="s">
        <v>133</v>
      </c>
      <c r="K2329" t="s">
        <v>6554</v>
      </c>
      <c r="M2329" t="s">
        <v>137</v>
      </c>
      <c r="O2329" t="s">
        <v>161</v>
      </c>
      <c r="S2329" t="s">
        <v>998</v>
      </c>
    </row>
    <row r="2330" spans="1:19" x14ac:dyDescent="0.2">
      <c r="A2330" t="s">
        <v>1826</v>
      </c>
      <c r="B2330" t="s">
        <v>1827</v>
      </c>
      <c r="C2330" t="s">
        <v>1828</v>
      </c>
      <c r="D2330" t="s">
        <v>24</v>
      </c>
      <c r="E2330" t="s">
        <v>133</v>
      </c>
      <c r="F2330" t="s">
        <v>997</v>
      </c>
      <c r="G2330" t="s">
        <v>133</v>
      </c>
      <c r="M2330" t="s">
        <v>282</v>
      </c>
      <c r="O2330" t="s">
        <v>161</v>
      </c>
      <c r="P2330">
        <v>4200022</v>
      </c>
      <c r="S2330" t="s">
        <v>998</v>
      </c>
    </row>
    <row r="2331" spans="1:19" x14ac:dyDescent="0.2">
      <c r="A2331" t="s">
        <v>1829</v>
      </c>
      <c r="B2331" t="s">
        <v>1830</v>
      </c>
      <c r="C2331" t="s">
        <v>1831</v>
      </c>
      <c r="D2331" t="s">
        <v>24</v>
      </c>
      <c r="E2331" t="s">
        <v>133</v>
      </c>
      <c r="F2331" t="s">
        <v>997</v>
      </c>
      <c r="G2331" t="s">
        <v>133</v>
      </c>
      <c r="M2331" t="s">
        <v>282</v>
      </c>
      <c r="O2331" t="s">
        <v>161</v>
      </c>
      <c r="P2331">
        <v>4200023</v>
      </c>
      <c r="S2331" t="s">
        <v>998</v>
      </c>
    </row>
    <row r="2332" spans="1:19" x14ac:dyDescent="0.2">
      <c r="A2332" t="s">
        <v>1832</v>
      </c>
      <c r="B2332" t="s">
        <v>1833</v>
      </c>
      <c r="C2332" t="s">
        <v>1834</v>
      </c>
      <c r="D2332" t="s">
        <v>24</v>
      </c>
      <c r="E2332" t="s">
        <v>133</v>
      </c>
      <c r="F2332" t="s">
        <v>997</v>
      </c>
      <c r="G2332" t="s">
        <v>133</v>
      </c>
      <c r="M2332" t="s">
        <v>282</v>
      </c>
      <c r="O2332" t="s">
        <v>161</v>
      </c>
      <c r="P2332">
        <v>4200024</v>
      </c>
      <c r="S2332" t="s">
        <v>998</v>
      </c>
    </row>
    <row r="2333" spans="1:19" x14ac:dyDescent="0.2">
      <c r="A2333" t="s">
        <v>1835</v>
      </c>
      <c r="B2333" t="s">
        <v>1836</v>
      </c>
      <c r="C2333" t="s">
        <v>1837</v>
      </c>
      <c r="D2333" t="s">
        <v>24</v>
      </c>
      <c r="E2333" t="s">
        <v>133</v>
      </c>
      <c r="F2333" t="s">
        <v>997</v>
      </c>
      <c r="G2333" t="s">
        <v>133</v>
      </c>
      <c r="M2333" t="s">
        <v>282</v>
      </c>
      <c r="O2333" t="s">
        <v>161</v>
      </c>
      <c r="P2333">
        <v>4200025</v>
      </c>
      <c r="S2333" t="s">
        <v>998</v>
      </c>
    </row>
    <row r="2334" spans="1:19" x14ac:dyDescent="0.2">
      <c r="A2334" t="s">
        <v>1838</v>
      </c>
      <c r="B2334" t="s">
        <v>1839</v>
      </c>
      <c r="C2334" t="s">
        <v>1840</v>
      </c>
      <c r="D2334" t="s">
        <v>24</v>
      </c>
      <c r="E2334" t="s">
        <v>133</v>
      </c>
      <c r="F2334" t="s">
        <v>997</v>
      </c>
      <c r="G2334" t="s">
        <v>133</v>
      </c>
      <c r="M2334" t="s">
        <v>282</v>
      </c>
      <c r="O2334" t="s">
        <v>161</v>
      </c>
      <c r="P2334">
        <v>4200026</v>
      </c>
      <c r="S2334" t="s">
        <v>998</v>
      </c>
    </row>
    <row r="2335" spans="1:19" x14ac:dyDescent="0.2">
      <c r="A2335" t="s">
        <v>1841</v>
      </c>
      <c r="B2335" t="s">
        <v>1842</v>
      </c>
      <c r="C2335" t="s">
        <v>1843</v>
      </c>
      <c r="D2335" t="s">
        <v>14</v>
      </c>
      <c r="E2335" t="s">
        <v>133</v>
      </c>
      <c r="F2335" t="s">
        <v>997</v>
      </c>
      <c r="G2335" t="s">
        <v>133</v>
      </c>
      <c r="K2335" t="s">
        <v>1844</v>
      </c>
      <c r="M2335" t="s">
        <v>137</v>
      </c>
      <c r="O2335" t="s">
        <v>161</v>
      </c>
      <c r="S2335" t="s">
        <v>998</v>
      </c>
    </row>
    <row r="2336" spans="1:19" x14ac:dyDescent="0.2">
      <c r="A2336" t="s">
        <v>1845</v>
      </c>
      <c r="B2336" t="s">
        <v>1846</v>
      </c>
      <c r="C2336" t="s">
        <v>1847</v>
      </c>
      <c r="D2336" t="s">
        <v>24</v>
      </c>
      <c r="E2336" t="s">
        <v>133</v>
      </c>
      <c r="F2336" t="s">
        <v>997</v>
      </c>
      <c r="G2336" t="s">
        <v>133</v>
      </c>
      <c r="M2336" t="s">
        <v>137</v>
      </c>
      <c r="O2336" t="s">
        <v>161</v>
      </c>
      <c r="P2336">
        <v>4104001</v>
      </c>
      <c r="S2336" t="s">
        <v>998</v>
      </c>
    </row>
    <row r="2337" spans="1:20" x14ac:dyDescent="0.2">
      <c r="A2337" t="s">
        <v>1848</v>
      </c>
      <c r="B2337" t="s">
        <v>1849</v>
      </c>
      <c r="C2337" t="s">
        <v>1850</v>
      </c>
      <c r="D2337" t="s">
        <v>24</v>
      </c>
      <c r="E2337" t="s">
        <v>133</v>
      </c>
      <c r="F2337" t="s">
        <v>997</v>
      </c>
      <c r="G2337" t="s">
        <v>133</v>
      </c>
      <c r="M2337" t="s">
        <v>137</v>
      </c>
      <c r="O2337" t="s">
        <v>161</v>
      </c>
      <c r="P2337">
        <v>4105006</v>
      </c>
      <c r="S2337" t="s">
        <v>998</v>
      </c>
    </row>
    <row r="2338" spans="1:20" x14ac:dyDescent="0.2">
      <c r="A2338" t="s">
        <v>1851</v>
      </c>
      <c r="B2338" t="s">
        <v>1852</v>
      </c>
      <c r="C2338" t="s">
        <v>1853</v>
      </c>
      <c r="D2338" t="s">
        <v>14</v>
      </c>
      <c r="E2338" t="s">
        <v>133</v>
      </c>
      <c r="F2338" t="s">
        <v>997</v>
      </c>
      <c r="G2338" t="s">
        <v>133</v>
      </c>
      <c r="K2338" t="s">
        <v>1854</v>
      </c>
      <c r="M2338" t="s">
        <v>282</v>
      </c>
      <c r="O2338" t="s">
        <v>161</v>
      </c>
      <c r="S2338" t="s">
        <v>998</v>
      </c>
    </row>
    <row r="2339" spans="1:20" x14ac:dyDescent="0.2">
      <c r="A2339" t="s">
        <v>1855</v>
      </c>
      <c r="B2339" t="s">
        <v>1856</v>
      </c>
      <c r="C2339" t="s">
        <v>1854</v>
      </c>
      <c r="D2339" t="s">
        <v>14</v>
      </c>
      <c r="E2339" t="s">
        <v>133</v>
      </c>
      <c r="F2339" t="s">
        <v>997</v>
      </c>
      <c r="G2339" t="s">
        <v>133</v>
      </c>
      <c r="K2339" t="s">
        <v>1857</v>
      </c>
      <c r="M2339" t="s">
        <v>282</v>
      </c>
      <c r="O2339" t="s">
        <v>161</v>
      </c>
      <c r="S2339" t="s">
        <v>998</v>
      </c>
    </row>
    <row r="2340" spans="1:20" x14ac:dyDescent="0.2">
      <c r="A2340" t="s">
        <v>1858</v>
      </c>
      <c r="B2340" t="s">
        <v>1859</v>
      </c>
      <c r="C2340" t="s">
        <v>1860</v>
      </c>
      <c r="D2340" t="s">
        <v>24</v>
      </c>
      <c r="E2340" t="s">
        <v>133</v>
      </c>
      <c r="F2340" t="s">
        <v>997</v>
      </c>
      <c r="G2340" t="s">
        <v>133</v>
      </c>
      <c r="M2340" t="s">
        <v>282</v>
      </c>
      <c r="O2340" t="s">
        <v>161</v>
      </c>
      <c r="P2340" t="s">
        <v>6555</v>
      </c>
      <c r="S2340" t="s">
        <v>998</v>
      </c>
    </row>
    <row r="2341" spans="1:20" x14ac:dyDescent="0.2">
      <c r="A2341" t="s">
        <v>1861</v>
      </c>
      <c r="B2341" t="s">
        <v>1862</v>
      </c>
      <c r="C2341" t="s">
        <v>1863</v>
      </c>
      <c r="D2341" t="s">
        <v>24</v>
      </c>
      <c r="E2341" t="s">
        <v>133</v>
      </c>
      <c r="F2341" t="s">
        <v>997</v>
      </c>
      <c r="G2341" t="s">
        <v>133</v>
      </c>
      <c r="M2341" t="s">
        <v>282</v>
      </c>
      <c r="O2341" t="s">
        <v>161</v>
      </c>
      <c r="P2341" t="s">
        <v>1864</v>
      </c>
      <c r="S2341" t="s">
        <v>998</v>
      </c>
    </row>
    <row r="2342" spans="1:20" x14ac:dyDescent="0.2">
      <c r="A2342" t="s">
        <v>1865</v>
      </c>
      <c r="B2342" t="s">
        <v>1866</v>
      </c>
      <c r="C2342" t="s">
        <v>1867</v>
      </c>
      <c r="D2342" t="s">
        <v>24</v>
      </c>
      <c r="E2342" t="s">
        <v>133</v>
      </c>
      <c r="F2342" t="s">
        <v>997</v>
      </c>
      <c r="G2342" t="s">
        <v>133</v>
      </c>
      <c r="M2342" t="s">
        <v>137</v>
      </c>
      <c r="O2342" t="s">
        <v>161</v>
      </c>
      <c r="S2342" t="s">
        <v>998</v>
      </c>
    </row>
    <row r="2343" spans="1:20" x14ac:dyDescent="0.2">
      <c r="A2343" t="s">
        <v>1868</v>
      </c>
      <c r="B2343" t="s">
        <v>1869</v>
      </c>
      <c r="C2343" t="s">
        <v>1870</v>
      </c>
      <c r="D2343" t="s">
        <v>24</v>
      </c>
      <c r="E2343" t="s">
        <v>133</v>
      </c>
      <c r="F2343" t="s">
        <v>997</v>
      </c>
      <c r="G2343" t="s">
        <v>133</v>
      </c>
      <c r="M2343" t="s">
        <v>282</v>
      </c>
      <c r="O2343" t="s">
        <v>161</v>
      </c>
      <c r="S2343" t="s">
        <v>998</v>
      </c>
    </row>
    <row r="2344" spans="1:20" x14ac:dyDescent="0.2">
      <c r="A2344" t="s">
        <v>1871</v>
      </c>
      <c r="B2344" t="s">
        <v>1872</v>
      </c>
      <c r="C2344" t="s">
        <v>1873</v>
      </c>
      <c r="D2344" t="s">
        <v>61</v>
      </c>
      <c r="E2344" t="s">
        <v>133</v>
      </c>
      <c r="K2344" t="s">
        <v>1874</v>
      </c>
      <c r="M2344" t="s">
        <v>282</v>
      </c>
      <c r="O2344" t="s">
        <v>150</v>
      </c>
      <c r="S2344" t="s">
        <v>1658</v>
      </c>
      <c r="T2344" t="s">
        <v>265</v>
      </c>
    </row>
    <row r="2345" spans="1:20" x14ac:dyDescent="0.2">
      <c r="A2345" t="s">
        <v>1875</v>
      </c>
      <c r="B2345" t="s">
        <v>1876</v>
      </c>
      <c r="C2345" t="s">
        <v>1874</v>
      </c>
      <c r="D2345" t="s">
        <v>61</v>
      </c>
      <c r="E2345" t="s">
        <v>133</v>
      </c>
      <c r="K2345" t="s">
        <v>1877</v>
      </c>
      <c r="M2345" t="s">
        <v>282</v>
      </c>
      <c r="O2345" t="s">
        <v>150</v>
      </c>
      <c r="S2345" t="s">
        <v>1658</v>
      </c>
      <c r="T2345" t="s">
        <v>265</v>
      </c>
    </row>
    <row r="2346" spans="1:20" x14ac:dyDescent="0.2">
      <c r="A2346" t="s">
        <v>1878</v>
      </c>
      <c r="B2346" t="s">
        <v>1879</v>
      </c>
      <c r="C2346" t="s">
        <v>1880</v>
      </c>
      <c r="D2346" t="s">
        <v>61</v>
      </c>
      <c r="E2346" t="s">
        <v>133</v>
      </c>
      <c r="K2346" t="s">
        <v>1881</v>
      </c>
      <c r="M2346" t="s">
        <v>282</v>
      </c>
      <c r="O2346" t="s">
        <v>150</v>
      </c>
      <c r="S2346" t="s">
        <v>1658</v>
      </c>
      <c r="T2346" t="s">
        <v>265</v>
      </c>
    </row>
    <row r="2347" spans="1:20" x14ac:dyDescent="0.2">
      <c r="A2347" t="s">
        <v>1882</v>
      </c>
      <c r="B2347" t="s">
        <v>1883</v>
      </c>
      <c r="C2347" t="s">
        <v>1884</v>
      </c>
      <c r="D2347" t="s">
        <v>61</v>
      </c>
      <c r="E2347" t="s">
        <v>133</v>
      </c>
      <c r="K2347" t="s">
        <v>1885</v>
      </c>
      <c r="M2347" t="s">
        <v>282</v>
      </c>
      <c r="O2347" t="s">
        <v>150</v>
      </c>
      <c r="S2347" t="s">
        <v>1658</v>
      </c>
      <c r="T2347" t="s">
        <v>265</v>
      </c>
    </row>
    <row r="2348" spans="1:20" x14ac:dyDescent="0.2">
      <c r="A2348" t="s">
        <v>1886</v>
      </c>
      <c r="B2348" t="s">
        <v>1887</v>
      </c>
      <c r="C2348" t="s">
        <v>1888</v>
      </c>
      <c r="D2348" t="s">
        <v>61</v>
      </c>
      <c r="E2348" t="s">
        <v>133</v>
      </c>
      <c r="K2348" t="s">
        <v>1889</v>
      </c>
      <c r="M2348" t="s">
        <v>282</v>
      </c>
      <c r="O2348" t="s">
        <v>161</v>
      </c>
      <c r="S2348" t="s">
        <v>1658</v>
      </c>
      <c r="T2348" t="s">
        <v>265</v>
      </c>
    </row>
    <row r="2349" spans="1:20" x14ac:dyDescent="0.2">
      <c r="A2349" t="s">
        <v>1890</v>
      </c>
      <c r="B2349" t="s">
        <v>1891</v>
      </c>
      <c r="C2349" t="s">
        <v>1892</v>
      </c>
      <c r="D2349" t="s">
        <v>61</v>
      </c>
      <c r="E2349" t="s">
        <v>133</v>
      </c>
      <c r="K2349" t="s">
        <v>1893</v>
      </c>
      <c r="M2349" t="s">
        <v>136</v>
      </c>
      <c r="S2349" t="s">
        <v>1658</v>
      </c>
      <c r="T2349" t="s">
        <v>265</v>
      </c>
    </row>
    <row r="2350" spans="1:20" x14ac:dyDescent="0.2">
      <c r="A2350" t="s">
        <v>1894</v>
      </c>
      <c r="B2350" t="s">
        <v>1895</v>
      </c>
      <c r="C2350" t="s">
        <v>1896</v>
      </c>
      <c r="D2350" t="s">
        <v>61</v>
      </c>
      <c r="E2350" t="s">
        <v>133</v>
      </c>
      <c r="K2350" t="s">
        <v>1897</v>
      </c>
      <c r="M2350" t="s">
        <v>137</v>
      </c>
      <c r="O2350" t="s">
        <v>150</v>
      </c>
      <c r="S2350" t="s">
        <v>1658</v>
      </c>
      <c r="T2350" t="s">
        <v>265</v>
      </c>
    </row>
    <row r="2351" spans="1:20" x14ac:dyDescent="0.2">
      <c r="A2351" t="s">
        <v>1898</v>
      </c>
      <c r="B2351" t="s">
        <v>1899</v>
      </c>
      <c r="C2351" t="s">
        <v>1900</v>
      </c>
      <c r="D2351" t="s">
        <v>61</v>
      </c>
      <c r="E2351" t="s">
        <v>133</v>
      </c>
      <c r="K2351" t="s">
        <v>1901</v>
      </c>
      <c r="M2351" t="s">
        <v>282</v>
      </c>
      <c r="O2351" t="s">
        <v>150</v>
      </c>
      <c r="Q2351" t="s">
        <v>1902</v>
      </c>
      <c r="S2351" t="s">
        <v>1658</v>
      </c>
      <c r="T2351" t="s">
        <v>265</v>
      </c>
    </row>
    <row r="2352" spans="1:20" x14ac:dyDescent="0.2">
      <c r="A2352" t="s">
        <v>1903</v>
      </c>
      <c r="B2352" t="s">
        <v>1904</v>
      </c>
      <c r="C2352" t="s">
        <v>1905</v>
      </c>
      <c r="D2352" t="s">
        <v>24</v>
      </c>
      <c r="E2352" t="s">
        <v>133</v>
      </c>
      <c r="M2352" t="s">
        <v>137</v>
      </c>
      <c r="O2352" t="s">
        <v>150</v>
      </c>
      <c r="S2352" t="s">
        <v>1658</v>
      </c>
      <c r="T2352" t="s">
        <v>265</v>
      </c>
    </row>
    <row r="2353" spans="1:20" x14ac:dyDescent="0.2">
      <c r="A2353" t="s">
        <v>1906</v>
      </c>
      <c r="B2353" t="s">
        <v>1907</v>
      </c>
      <c r="C2353" t="s">
        <v>1908</v>
      </c>
      <c r="D2353" t="s">
        <v>24</v>
      </c>
      <c r="E2353" t="s">
        <v>133</v>
      </c>
      <c r="M2353" t="s">
        <v>137</v>
      </c>
      <c r="O2353" t="s">
        <v>150</v>
      </c>
      <c r="S2353" t="s">
        <v>1658</v>
      </c>
      <c r="T2353" t="s">
        <v>265</v>
      </c>
    </row>
    <row r="2354" spans="1:20" x14ac:dyDescent="0.2">
      <c r="A2354" t="s">
        <v>1909</v>
      </c>
      <c r="B2354" t="s">
        <v>1910</v>
      </c>
      <c r="C2354" t="s">
        <v>1911</v>
      </c>
      <c r="D2354" t="s">
        <v>61</v>
      </c>
      <c r="E2354" t="s">
        <v>133</v>
      </c>
      <c r="K2354" t="s">
        <v>1912</v>
      </c>
      <c r="M2354" t="s">
        <v>282</v>
      </c>
      <c r="O2354" t="s">
        <v>150</v>
      </c>
      <c r="S2354" t="s">
        <v>1658</v>
      </c>
      <c r="T2354" t="s">
        <v>265</v>
      </c>
    </row>
    <row r="2355" spans="1:20" x14ac:dyDescent="0.2">
      <c r="A2355" t="s">
        <v>1913</v>
      </c>
      <c r="B2355" t="s">
        <v>1914</v>
      </c>
      <c r="C2355" t="s">
        <v>1915</v>
      </c>
      <c r="D2355" t="s">
        <v>61</v>
      </c>
      <c r="E2355" t="s">
        <v>133</v>
      </c>
      <c r="K2355" t="s">
        <v>1916</v>
      </c>
      <c r="M2355" t="s">
        <v>137</v>
      </c>
      <c r="O2355" t="s">
        <v>511</v>
      </c>
      <c r="S2355" t="s">
        <v>1658</v>
      </c>
      <c r="T2355" t="s">
        <v>265</v>
      </c>
    </row>
    <row r="2356" spans="1:20" x14ac:dyDescent="0.2">
      <c r="A2356" t="s">
        <v>1917</v>
      </c>
      <c r="B2356" t="s">
        <v>1918</v>
      </c>
      <c r="C2356" t="s">
        <v>1919</v>
      </c>
      <c r="D2356" t="s">
        <v>61</v>
      </c>
      <c r="E2356" t="s">
        <v>133</v>
      </c>
      <c r="K2356" t="s">
        <v>1920</v>
      </c>
      <c r="M2356" t="s">
        <v>137</v>
      </c>
      <c r="O2356" t="s">
        <v>150</v>
      </c>
      <c r="S2356" t="s">
        <v>1658</v>
      </c>
      <c r="T2356" t="s">
        <v>265</v>
      </c>
    </row>
    <row r="2357" spans="1:20" x14ac:dyDescent="0.2">
      <c r="A2357" t="s">
        <v>1921</v>
      </c>
      <c r="B2357" t="s">
        <v>1922</v>
      </c>
      <c r="C2357" t="s">
        <v>1923</v>
      </c>
      <c r="D2357" t="s">
        <v>35</v>
      </c>
      <c r="E2357" t="s">
        <v>133</v>
      </c>
      <c r="M2357" t="s">
        <v>137</v>
      </c>
      <c r="O2357" t="s">
        <v>150</v>
      </c>
      <c r="S2357" t="s">
        <v>1658</v>
      </c>
      <c r="T2357" t="s">
        <v>265</v>
      </c>
    </row>
    <row r="2358" spans="1:20" x14ac:dyDescent="0.2">
      <c r="A2358" t="s">
        <v>1924</v>
      </c>
      <c r="B2358" t="s">
        <v>1925</v>
      </c>
      <c r="C2358" t="s">
        <v>1926</v>
      </c>
      <c r="D2358" t="s">
        <v>61</v>
      </c>
      <c r="E2358" t="s">
        <v>133</v>
      </c>
      <c r="K2358" t="s">
        <v>1927</v>
      </c>
      <c r="M2358" t="s">
        <v>137</v>
      </c>
      <c r="O2358" t="s">
        <v>150</v>
      </c>
      <c r="S2358" t="s">
        <v>1658</v>
      </c>
      <c r="T2358" t="s">
        <v>265</v>
      </c>
    </row>
    <row r="2359" spans="1:20" x14ac:dyDescent="0.2">
      <c r="A2359" t="s">
        <v>6556</v>
      </c>
      <c r="B2359" t="s">
        <v>6557</v>
      </c>
      <c r="C2359" t="s">
        <v>6558</v>
      </c>
      <c r="D2359" t="s">
        <v>61</v>
      </c>
      <c r="E2359" t="s">
        <v>133</v>
      </c>
      <c r="K2359" t="s">
        <v>1930</v>
      </c>
      <c r="O2359" t="s">
        <v>161</v>
      </c>
      <c r="S2359" t="s">
        <v>1658</v>
      </c>
      <c r="T2359" t="s">
        <v>265</v>
      </c>
    </row>
    <row r="2360" spans="1:20" x14ac:dyDescent="0.2">
      <c r="A2360" t="s">
        <v>1928</v>
      </c>
      <c r="B2360" t="s">
        <v>1929</v>
      </c>
      <c r="C2360" t="s">
        <v>1930</v>
      </c>
      <c r="D2360" t="s">
        <v>61</v>
      </c>
      <c r="E2360" t="s">
        <v>133</v>
      </c>
      <c r="K2360" t="s">
        <v>1931</v>
      </c>
      <c r="M2360" t="s">
        <v>282</v>
      </c>
      <c r="O2360" t="s">
        <v>161</v>
      </c>
      <c r="S2360" t="s">
        <v>1658</v>
      </c>
      <c r="T2360" t="s">
        <v>265</v>
      </c>
    </row>
    <row r="2361" spans="1:20" x14ac:dyDescent="0.2">
      <c r="A2361" t="s">
        <v>1932</v>
      </c>
      <c r="B2361" t="s">
        <v>1933</v>
      </c>
      <c r="C2361" t="s">
        <v>1934</v>
      </c>
      <c r="D2361" t="s">
        <v>61</v>
      </c>
      <c r="E2361" t="s">
        <v>133</v>
      </c>
      <c r="K2361" t="s">
        <v>1935</v>
      </c>
      <c r="M2361" t="s">
        <v>282</v>
      </c>
      <c r="O2361" t="s">
        <v>161</v>
      </c>
      <c r="Q2361" t="s">
        <v>1937</v>
      </c>
      <c r="S2361" t="s">
        <v>1658</v>
      </c>
      <c r="T2361" t="s">
        <v>265</v>
      </c>
    </row>
    <row r="2362" spans="1:20" x14ac:dyDescent="0.2">
      <c r="A2362" t="s">
        <v>1938</v>
      </c>
      <c r="B2362" t="s">
        <v>1939</v>
      </c>
      <c r="C2362" t="s">
        <v>1940</v>
      </c>
      <c r="D2362" t="s">
        <v>24</v>
      </c>
      <c r="E2362" t="s">
        <v>133</v>
      </c>
      <c r="M2362" t="s">
        <v>282</v>
      </c>
      <c r="O2362" t="s">
        <v>161</v>
      </c>
      <c r="S2362" t="s">
        <v>1658</v>
      </c>
      <c r="T2362" t="s">
        <v>265</v>
      </c>
    </row>
    <row r="2363" spans="1:20" x14ac:dyDescent="0.2">
      <c r="A2363" t="s">
        <v>1941</v>
      </c>
      <c r="B2363" t="s">
        <v>1942</v>
      </c>
      <c r="C2363" t="s">
        <v>1943</v>
      </c>
      <c r="D2363" t="s">
        <v>61</v>
      </c>
      <c r="E2363" t="s">
        <v>133</v>
      </c>
      <c r="K2363" t="s">
        <v>1944</v>
      </c>
      <c r="M2363" t="s">
        <v>282</v>
      </c>
      <c r="O2363" t="s">
        <v>150</v>
      </c>
      <c r="S2363" t="s">
        <v>1658</v>
      </c>
      <c r="T2363" t="s">
        <v>265</v>
      </c>
    </row>
    <row r="2364" spans="1:20" x14ac:dyDescent="0.2">
      <c r="A2364" t="s">
        <v>1945</v>
      </c>
      <c r="B2364" t="s">
        <v>1946</v>
      </c>
      <c r="C2364" t="s">
        <v>1947</v>
      </c>
      <c r="D2364" t="s">
        <v>61</v>
      </c>
      <c r="E2364" t="s">
        <v>133</v>
      </c>
      <c r="K2364" t="s">
        <v>1948</v>
      </c>
      <c r="M2364" t="s">
        <v>282</v>
      </c>
      <c r="O2364" t="s">
        <v>150</v>
      </c>
      <c r="S2364" t="s">
        <v>1658</v>
      </c>
      <c r="T2364" t="s">
        <v>265</v>
      </c>
    </row>
    <row r="2365" spans="1:20" x14ac:dyDescent="0.2">
      <c r="A2365" t="s">
        <v>1949</v>
      </c>
      <c r="B2365" t="s">
        <v>1950</v>
      </c>
      <c r="C2365" t="s">
        <v>1951</v>
      </c>
      <c r="D2365" t="s">
        <v>24</v>
      </c>
      <c r="E2365" t="s">
        <v>133</v>
      </c>
      <c r="M2365" t="s">
        <v>137</v>
      </c>
      <c r="O2365" t="s">
        <v>150</v>
      </c>
      <c r="S2365" t="s">
        <v>1658</v>
      </c>
      <c r="T2365" t="s">
        <v>265</v>
      </c>
    </row>
    <row r="2366" spans="1:20" x14ac:dyDescent="0.2">
      <c r="A2366" t="s">
        <v>1952</v>
      </c>
      <c r="B2366" t="s">
        <v>1953</v>
      </c>
      <c r="C2366" t="s">
        <v>1954</v>
      </c>
      <c r="D2366" t="s">
        <v>61</v>
      </c>
      <c r="E2366" t="s">
        <v>133</v>
      </c>
      <c r="K2366" t="s">
        <v>1955</v>
      </c>
      <c r="M2366" t="s">
        <v>137</v>
      </c>
      <c r="O2366" t="s">
        <v>150</v>
      </c>
      <c r="S2366" t="s">
        <v>1658</v>
      </c>
      <c r="T2366" t="s">
        <v>265</v>
      </c>
    </row>
    <row r="2367" spans="1:20" x14ac:dyDescent="0.2">
      <c r="A2367" t="s">
        <v>1956</v>
      </c>
      <c r="B2367" t="s">
        <v>1957</v>
      </c>
      <c r="C2367" t="s">
        <v>1958</v>
      </c>
      <c r="D2367" t="s">
        <v>61</v>
      </c>
      <c r="E2367" t="s">
        <v>133</v>
      </c>
      <c r="K2367" t="s">
        <v>1959</v>
      </c>
      <c r="M2367" t="s">
        <v>282</v>
      </c>
      <c r="O2367" t="s">
        <v>150</v>
      </c>
      <c r="S2367" t="s">
        <v>1658</v>
      </c>
      <c r="T2367" t="s">
        <v>265</v>
      </c>
    </row>
    <row r="2368" spans="1:20" x14ac:dyDescent="0.2">
      <c r="A2368" t="s">
        <v>1960</v>
      </c>
      <c r="B2368" t="s">
        <v>1961</v>
      </c>
      <c r="C2368" t="s">
        <v>1962</v>
      </c>
      <c r="D2368" t="s">
        <v>24</v>
      </c>
      <c r="E2368" t="s">
        <v>133</v>
      </c>
      <c r="M2368" t="s">
        <v>137</v>
      </c>
      <c r="O2368" t="s">
        <v>511</v>
      </c>
      <c r="Q2368" t="s">
        <v>1963</v>
      </c>
      <c r="S2368" t="s">
        <v>1658</v>
      </c>
      <c r="T2368" t="s">
        <v>265</v>
      </c>
    </row>
    <row r="2369" spans="1:20" x14ac:dyDescent="0.2">
      <c r="A2369" t="s">
        <v>1964</v>
      </c>
      <c r="B2369" t="s">
        <v>1965</v>
      </c>
      <c r="C2369" t="s">
        <v>1966</v>
      </c>
      <c r="D2369" t="s">
        <v>61</v>
      </c>
      <c r="E2369" t="s">
        <v>133</v>
      </c>
      <c r="K2369" t="s">
        <v>1967</v>
      </c>
      <c r="M2369" t="s">
        <v>282</v>
      </c>
      <c r="O2369" t="s">
        <v>161</v>
      </c>
      <c r="S2369" t="s">
        <v>1658</v>
      </c>
      <c r="T2369" t="s">
        <v>265</v>
      </c>
    </row>
    <row r="2370" spans="1:20" x14ac:dyDescent="0.2">
      <c r="A2370" t="s">
        <v>1969</v>
      </c>
      <c r="B2370" t="s">
        <v>1970</v>
      </c>
      <c r="C2370" t="s">
        <v>1971</v>
      </c>
      <c r="D2370" t="s">
        <v>61</v>
      </c>
      <c r="E2370" t="s">
        <v>133</v>
      </c>
      <c r="K2370" t="s">
        <v>1972</v>
      </c>
      <c r="M2370" t="s">
        <v>282</v>
      </c>
      <c r="O2370" t="s">
        <v>150</v>
      </c>
      <c r="S2370" t="s">
        <v>1658</v>
      </c>
      <c r="T2370" t="s">
        <v>265</v>
      </c>
    </row>
    <row r="2371" spans="1:20" x14ac:dyDescent="0.2">
      <c r="A2371" t="s">
        <v>1973</v>
      </c>
      <c r="B2371" t="s">
        <v>1974</v>
      </c>
      <c r="C2371" t="s">
        <v>1975</v>
      </c>
      <c r="D2371" t="s">
        <v>24</v>
      </c>
      <c r="E2371" t="s">
        <v>133</v>
      </c>
      <c r="M2371" t="s">
        <v>282</v>
      </c>
      <c r="O2371" t="s">
        <v>511</v>
      </c>
      <c r="Q2371" t="s">
        <v>1976</v>
      </c>
      <c r="S2371" t="s">
        <v>1658</v>
      </c>
      <c r="T2371" t="s">
        <v>265</v>
      </c>
    </row>
    <row r="2372" spans="1:20" x14ac:dyDescent="0.2">
      <c r="A2372" t="s">
        <v>1977</v>
      </c>
      <c r="B2372" t="s">
        <v>1978</v>
      </c>
      <c r="C2372" t="s">
        <v>1979</v>
      </c>
      <c r="D2372" t="s">
        <v>24</v>
      </c>
      <c r="E2372" t="s">
        <v>133</v>
      </c>
      <c r="M2372" t="s">
        <v>282</v>
      </c>
      <c r="O2372" t="s">
        <v>161</v>
      </c>
      <c r="S2372" t="s">
        <v>1658</v>
      </c>
      <c r="T2372" t="s">
        <v>265</v>
      </c>
    </row>
    <row r="2373" spans="1:20" x14ac:dyDescent="0.2">
      <c r="A2373" t="s">
        <v>1980</v>
      </c>
      <c r="B2373" t="s">
        <v>1981</v>
      </c>
      <c r="C2373" t="s">
        <v>1982</v>
      </c>
      <c r="D2373" t="s">
        <v>61</v>
      </c>
      <c r="E2373" t="s">
        <v>133</v>
      </c>
      <c r="K2373" t="s">
        <v>1983</v>
      </c>
      <c r="M2373" t="s">
        <v>282</v>
      </c>
      <c r="O2373" t="s">
        <v>161</v>
      </c>
      <c r="S2373" t="s">
        <v>1658</v>
      </c>
      <c r="T2373" t="s">
        <v>265</v>
      </c>
    </row>
    <row r="2374" spans="1:20" x14ac:dyDescent="0.2">
      <c r="A2374" t="s">
        <v>1985</v>
      </c>
      <c r="B2374" t="s">
        <v>1986</v>
      </c>
      <c r="C2374" t="s">
        <v>1987</v>
      </c>
      <c r="D2374" t="s">
        <v>61</v>
      </c>
      <c r="E2374" t="s">
        <v>133</v>
      </c>
      <c r="K2374" t="s">
        <v>1988</v>
      </c>
      <c r="M2374" t="s">
        <v>282</v>
      </c>
      <c r="O2374" t="s">
        <v>150</v>
      </c>
      <c r="S2374" t="s">
        <v>1658</v>
      </c>
      <c r="T2374" t="s">
        <v>265</v>
      </c>
    </row>
    <row r="2375" spans="1:20" x14ac:dyDescent="0.2">
      <c r="A2375" t="s">
        <v>1989</v>
      </c>
      <c r="B2375" t="s">
        <v>1990</v>
      </c>
      <c r="C2375" t="s">
        <v>1991</v>
      </c>
      <c r="D2375" t="s">
        <v>24</v>
      </c>
      <c r="E2375" t="s">
        <v>133</v>
      </c>
      <c r="M2375" t="s">
        <v>282</v>
      </c>
      <c r="O2375" t="s">
        <v>511</v>
      </c>
      <c r="Q2375" t="s">
        <v>1992</v>
      </c>
      <c r="S2375" t="s">
        <v>1658</v>
      </c>
      <c r="T2375" t="s">
        <v>265</v>
      </c>
    </row>
    <row r="2376" spans="1:20" x14ac:dyDescent="0.2">
      <c r="A2376" t="s">
        <v>1993</v>
      </c>
      <c r="B2376" t="s">
        <v>1994</v>
      </c>
      <c r="C2376" t="s">
        <v>1995</v>
      </c>
      <c r="D2376" t="s">
        <v>24</v>
      </c>
      <c r="E2376" t="s">
        <v>133</v>
      </c>
      <c r="M2376" t="s">
        <v>282</v>
      </c>
      <c r="O2376" t="s">
        <v>161</v>
      </c>
      <c r="S2376" t="s">
        <v>1658</v>
      </c>
      <c r="T2376" t="s">
        <v>265</v>
      </c>
    </row>
    <row r="2377" spans="1:20" x14ac:dyDescent="0.2">
      <c r="A2377" t="s">
        <v>1996</v>
      </c>
      <c r="B2377" t="s">
        <v>1997</v>
      </c>
      <c r="C2377" t="s">
        <v>1998</v>
      </c>
      <c r="D2377" t="s">
        <v>24</v>
      </c>
      <c r="E2377" t="s">
        <v>133</v>
      </c>
      <c r="M2377" t="s">
        <v>137</v>
      </c>
      <c r="O2377" t="s">
        <v>150</v>
      </c>
      <c r="S2377" t="s">
        <v>1658</v>
      </c>
      <c r="T2377" t="s">
        <v>265</v>
      </c>
    </row>
    <row r="2378" spans="1:20" x14ac:dyDescent="0.2">
      <c r="A2378" t="s">
        <v>1999</v>
      </c>
      <c r="B2378" t="s">
        <v>2000</v>
      </c>
      <c r="C2378" t="s">
        <v>2001</v>
      </c>
      <c r="D2378" t="s">
        <v>14</v>
      </c>
      <c r="E2378" t="s">
        <v>133</v>
      </c>
      <c r="K2378" t="s">
        <v>2002</v>
      </c>
      <c r="M2378" t="s">
        <v>137</v>
      </c>
      <c r="O2378" t="s">
        <v>150</v>
      </c>
      <c r="S2378" t="s">
        <v>1658</v>
      </c>
      <c r="T2378" t="s">
        <v>265</v>
      </c>
    </row>
    <row r="2379" spans="1:20" x14ac:dyDescent="0.2">
      <c r="A2379" t="s">
        <v>2003</v>
      </c>
      <c r="B2379" t="s">
        <v>2004</v>
      </c>
      <c r="C2379" t="s">
        <v>2005</v>
      </c>
      <c r="D2379" t="s">
        <v>35</v>
      </c>
      <c r="E2379" t="s">
        <v>133</v>
      </c>
      <c r="M2379" t="s">
        <v>137</v>
      </c>
      <c r="O2379" t="s">
        <v>511</v>
      </c>
      <c r="Q2379" t="s">
        <v>2006</v>
      </c>
      <c r="S2379" t="s">
        <v>1658</v>
      </c>
      <c r="T2379" t="s">
        <v>265</v>
      </c>
    </row>
    <row r="2380" spans="1:20" x14ac:dyDescent="0.2">
      <c r="A2380" t="s">
        <v>6559</v>
      </c>
      <c r="B2380" t="s">
        <v>6560</v>
      </c>
      <c r="C2380" t="s">
        <v>6561</v>
      </c>
      <c r="D2380" t="s">
        <v>24</v>
      </c>
      <c r="E2380" t="s">
        <v>133</v>
      </c>
      <c r="O2380" t="s">
        <v>150</v>
      </c>
      <c r="R2380" t="s">
        <v>1680</v>
      </c>
      <c r="S2380" t="s">
        <v>1658</v>
      </c>
      <c r="T2380" t="s">
        <v>487</v>
      </c>
    </row>
    <row r="2381" spans="1:20" x14ac:dyDescent="0.2">
      <c r="A2381" t="s">
        <v>36</v>
      </c>
      <c r="B2381" t="s">
        <v>37</v>
      </c>
      <c r="C2381" t="s">
        <v>38</v>
      </c>
      <c r="D2381" t="s">
        <v>35</v>
      </c>
      <c r="E2381" t="s">
        <v>133</v>
      </c>
      <c r="F2381" t="s">
        <v>1700</v>
      </c>
      <c r="G2381" t="s">
        <v>133</v>
      </c>
      <c r="H2381" t="s">
        <v>133</v>
      </c>
      <c r="M2381" t="s">
        <v>137</v>
      </c>
      <c r="O2381" t="s">
        <v>161</v>
      </c>
      <c r="S2381" t="s">
        <v>1702</v>
      </c>
      <c r="T2381" t="s">
        <v>265</v>
      </c>
    </row>
    <row r="2382" spans="1:20" x14ac:dyDescent="0.2">
      <c r="A2382" t="s">
        <v>69</v>
      </c>
      <c r="B2382" t="s">
        <v>70</v>
      </c>
      <c r="C2382" t="s">
        <v>71</v>
      </c>
      <c r="D2382" t="s">
        <v>61</v>
      </c>
      <c r="E2382" t="s">
        <v>133</v>
      </c>
      <c r="F2382" t="s">
        <v>133</v>
      </c>
      <c r="G2382" t="s">
        <v>133</v>
      </c>
      <c r="K2382" t="s">
        <v>72</v>
      </c>
      <c r="L2382" t="s">
        <v>160</v>
      </c>
      <c r="M2382" t="s">
        <v>137</v>
      </c>
      <c r="O2382" t="s">
        <v>161</v>
      </c>
      <c r="P2382">
        <v>410500</v>
      </c>
    </row>
    <row r="2383" spans="1:20" x14ac:dyDescent="0.2">
      <c r="A2383" t="s">
        <v>51</v>
      </c>
      <c r="B2383" t="s">
        <v>52</v>
      </c>
      <c r="C2383" t="s">
        <v>53</v>
      </c>
      <c r="D2383" t="s">
        <v>24</v>
      </c>
      <c r="E2383" t="s">
        <v>133</v>
      </c>
      <c r="F2383" t="s">
        <v>2007</v>
      </c>
      <c r="G2383" t="s">
        <v>133</v>
      </c>
      <c r="O2383" t="s">
        <v>511</v>
      </c>
      <c r="Q2383" t="s">
        <v>2008</v>
      </c>
      <c r="S2383" t="s">
        <v>6546</v>
      </c>
      <c r="T2383" t="s">
        <v>265</v>
      </c>
    </row>
    <row r="2384" spans="1:20" x14ac:dyDescent="0.2">
      <c r="A2384" t="s">
        <v>101</v>
      </c>
      <c r="B2384" t="s">
        <v>102</v>
      </c>
      <c r="C2384" t="s">
        <v>103</v>
      </c>
      <c r="D2384" t="s">
        <v>35</v>
      </c>
      <c r="E2384" t="s">
        <v>133</v>
      </c>
      <c r="F2384" t="s">
        <v>510</v>
      </c>
      <c r="G2384" t="s">
        <v>133</v>
      </c>
      <c r="O2384" t="s">
        <v>511</v>
      </c>
      <c r="Q2384" t="s">
        <v>2009</v>
      </c>
      <c r="S2384" t="s">
        <v>6546</v>
      </c>
      <c r="T2384" t="s">
        <v>265</v>
      </c>
    </row>
    <row r="2385" spans="1:20" x14ac:dyDescent="0.2">
      <c r="A2385" t="s">
        <v>101</v>
      </c>
      <c r="B2385" t="s">
        <v>102</v>
      </c>
      <c r="C2385" t="s">
        <v>103</v>
      </c>
      <c r="D2385" t="s">
        <v>35</v>
      </c>
      <c r="E2385" t="s">
        <v>133</v>
      </c>
      <c r="F2385" t="s">
        <v>606</v>
      </c>
      <c r="G2385" t="s">
        <v>133</v>
      </c>
      <c r="O2385" t="s">
        <v>511</v>
      </c>
      <c r="Q2385" t="s">
        <v>2009</v>
      </c>
      <c r="S2385" t="s">
        <v>6546</v>
      </c>
      <c r="T2385" t="s">
        <v>265</v>
      </c>
    </row>
    <row r="2386" spans="1:20" x14ac:dyDescent="0.2">
      <c r="A2386" t="s">
        <v>101</v>
      </c>
      <c r="B2386" t="s">
        <v>102</v>
      </c>
      <c r="C2386" t="s">
        <v>103</v>
      </c>
      <c r="D2386" t="s">
        <v>35</v>
      </c>
      <c r="E2386" t="s">
        <v>133</v>
      </c>
      <c r="F2386" t="s">
        <v>997</v>
      </c>
      <c r="G2386" t="s">
        <v>133</v>
      </c>
      <c r="O2386" t="s">
        <v>511</v>
      </c>
      <c r="Q2386" t="s">
        <v>2009</v>
      </c>
      <c r="S2386" t="s">
        <v>998</v>
      </c>
      <c r="T2386" t="s">
        <v>265</v>
      </c>
    </row>
    <row r="2387" spans="1:20" x14ac:dyDescent="0.2">
      <c r="A2387" t="s">
        <v>101</v>
      </c>
      <c r="B2387" t="s">
        <v>102</v>
      </c>
      <c r="C2387" t="s">
        <v>103</v>
      </c>
      <c r="D2387" t="s">
        <v>35</v>
      </c>
      <c r="E2387" t="s">
        <v>133</v>
      </c>
      <c r="F2387" t="s">
        <v>2010</v>
      </c>
      <c r="G2387" t="s">
        <v>133</v>
      </c>
      <c r="O2387" t="s">
        <v>511</v>
      </c>
      <c r="Q2387" t="s">
        <v>2009</v>
      </c>
      <c r="S2387" t="s">
        <v>6546</v>
      </c>
      <c r="T2387" t="s">
        <v>265</v>
      </c>
    </row>
    <row r="2388" spans="1:20" x14ac:dyDescent="0.2">
      <c r="A2388" t="s">
        <v>87</v>
      </c>
      <c r="B2388" t="s">
        <v>88</v>
      </c>
      <c r="C2388" t="s">
        <v>89</v>
      </c>
      <c r="D2388" t="s">
        <v>24</v>
      </c>
      <c r="E2388" t="s">
        <v>133</v>
      </c>
      <c r="F2388" t="s">
        <v>510</v>
      </c>
      <c r="G2388" t="s">
        <v>133</v>
      </c>
      <c r="O2388" t="s">
        <v>511</v>
      </c>
      <c r="Q2388" t="s">
        <v>2011</v>
      </c>
      <c r="S2388" t="s">
        <v>6546</v>
      </c>
      <c r="T2388" t="s">
        <v>265</v>
      </c>
    </row>
    <row r="2389" spans="1:20" x14ac:dyDescent="0.2">
      <c r="A2389" t="s">
        <v>87</v>
      </c>
      <c r="B2389" t="s">
        <v>88</v>
      </c>
      <c r="C2389" t="s">
        <v>89</v>
      </c>
      <c r="D2389" t="s">
        <v>24</v>
      </c>
      <c r="E2389" t="s">
        <v>133</v>
      </c>
      <c r="F2389" t="s">
        <v>606</v>
      </c>
      <c r="G2389" t="s">
        <v>133</v>
      </c>
      <c r="O2389" t="s">
        <v>511</v>
      </c>
      <c r="Q2389" t="s">
        <v>2011</v>
      </c>
      <c r="S2389" t="s">
        <v>6546</v>
      </c>
      <c r="T2389" t="s">
        <v>265</v>
      </c>
    </row>
    <row r="2390" spans="1:20" x14ac:dyDescent="0.2">
      <c r="A2390" t="s">
        <v>87</v>
      </c>
      <c r="B2390" t="s">
        <v>88</v>
      </c>
      <c r="C2390" t="s">
        <v>89</v>
      </c>
      <c r="D2390" t="s">
        <v>24</v>
      </c>
      <c r="E2390" t="s">
        <v>133</v>
      </c>
      <c r="F2390" t="s">
        <v>997</v>
      </c>
      <c r="G2390" t="s">
        <v>133</v>
      </c>
      <c r="O2390" t="s">
        <v>511</v>
      </c>
      <c r="Q2390" t="s">
        <v>2011</v>
      </c>
      <c r="S2390" t="s">
        <v>998</v>
      </c>
      <c r="T2390" t="s">
        <v>265</v>
      </c>
    </row>
    <row r="2391" spans="1:20" x14ac:dyDescent="0.2">
      <c r="A2391" t="s">
        <v>87</v>
      </c>
      <c r="B2391" t="s">
        <v>88</v>
      </c>
      <c r="C2391" t="s">
        <v>89</v>
      </c>
      <c r="D2391" t="s">
        <v>24</v>
      </c>
      <c r="E2391" t="s">
        <v>133</v>
      </c>
      <c r="F2391" t="s">
        <v>2010</v>
      </c>
      <c r="G2391" t="s">
        <v>133</v>
      </c>
      <c r="O2391" t="s">
        <v>511</v>
      </c>
      <c r="Q2391" t="s">
        <v>2011</v>
      </c>
      <c r="S2391" t="s">
        <v>6546</v>
      </c>
      <c r="T2391" t="s">
        <v>265</v>
      </c>
    </row>
    <row r="2392" spans="1:20" x14ac:dyDescent="0.2">
      <c r="A2392" t="s">
        <v>108</v>
      </c>
      <c r="B2392" t="s">
        <v>109</v>
      </c>
      <c r="C2392" t="s">
        <v>110</v>
      </c>
      <c r="D2392" t="s">
        <v>24</v>
      </c>
      <c r="E2392" t="s">
        <v>133</v>
      </c>
      <c r="F2392" t="s">
        <v>510</v>
      </c>
      <c r="G2392" t="s">
        <v>133</v>
      </c>
      <c r="O2392" t="s">
        <v>511</v>
      </c>
      <c r="Q2392" t="s">
        <v>2012</v>
      </c>
      <c r="S2392" t="s">
        <v>6546</v>
      </c>
      <c r="T2392" t="s">
        <v>265</v>
      </c>
    </row>
    <row r="2393" spans="1:20" x14ac:dyDescent="0.2">
      <c r="A2393" t="s">
        <v>108</v>
      </c>
      <c r="B2393" t="s">
        <v>109</v>
      </c>
      <c r="C2393" t="s">
        <v>110</v>
      </c>
      <c r="D2393" t="s">
        <v>24</v>
      </c>
      <c r="E2393" t="s">
        <v>133</v>
      </c>
      <c r="F2393" t="s">
        <v>606</v>
      </c>
      <c r="G2393" t="s">
        <v>133</v>
      </c>
      <c r="O2393" t="s">
        <v>511</v>
      </c>
      <c r="Q2393" t="s">
        <v>2012</v>
      </c>
      <c r="S2393" t="s">
        <v>6546</v>
      </c>
      <c r="T2393" t="s">
        <v>265</v>
      </c>
    </row>
    <row r="2394" spans="1:20" x14ac:dyDescent="0.2">
      <c r="A2394" t="s">
        <v>108</v>
      </c>
      <c r="B2394" t="s">
        <v>109</v>
      </c>
      <c r="C2394" t="s">
        <v>110</v>
      </c>
      <c r="D2394" t="s">
        <v>24</v>
      </c>
      <c r="E2394" t="s">
        <v>133</v>
      </c>
      <c r="F2394" t="s">
        <v>997</v>
      </c>
      <c r="G2394" t="s">
        <v>133</v>
      </c>
      <c r="O2394" t="s">
        <v>511</v>
      </c>
      <c r="Q2394" t="s">
        <v>2012</v>
      </c>
      <c r="S2394" t="s">
        <v>998</v>
      </c>
      <c r="T2394" t="s">
        <v>265</v>
      </c>
    </row>
    <row r="2395" spans="1:20" x14ac:dyDescent="0.2">
      <c r="A2395" t="s">
        <v>108</v>
      </c>
      <c r="B2395" t="s">
        <v>109</v>
      </c>
      <c r="C2395" t="s">
        <v>110</v>
      </c>
      <c r="D2395" t="s">
        <v>24</v>
      </c>
      <c r="E2395" t="s">
        <v>133</v>
      </c>
      <c r="F2395" t="s">
        <v>2010</v>
      </c>
      <c r="G2395" t="s">
        <v>133</v>
      </c>
      <c r="O2395" t="s">
        <v>511</v>
      </c>
      <c r="Q2395" t="s">
        <v>2012</v>
      </c>
      <c r="S2395" t="s">
        <v>6546</v>
      </c>
      <c r="T2395" t="s">
        <v>265</v>
      </c>
    </row>
    <row r="2396" spans="1:20" x14ac:dyDescent="0.2">
      <c r="A2396" t="s">
        <v>2013</v>
      </c>
      <c r="B2396" t="s">
        <v>2014</v>
      </c>
      <c r="C2396" t="s">
        <v>2015</v>
      </c>
      <c r="D2396" t="s">
        <v>35</v>
      </c>
      <c r="E2396" t="s">
        <v>133</v>
      </c>
      <c r="F2396" t="s">
        <v>510</v>
      </c>
      <c r="M2396" t="s">
        <v>137</v>
      </c>
      <c r="O2396" t="s">
        <v>150</v>
      </c>
      <c r="Q2396" t="s">
        <v>2016</v>
      </c>
      <c r="R2396" t="s">
        <v>2017</v>
      </c>
      <c r="S2396" t="s">
        <v>506</v>
      </c>
      <c r="T2396" t="s">
        <v>265</v>
      </c>
    </row>
    <row r="2397" spans="1:20" x14ac:dyDescent="0.2">
      <c r="A2397" t="s">
        <v>2013</v>
      </c>
      <c r="B2397" t="s">
        <v>2014</v>
      </c>
      <c r="C2397" t="s">
        <v>2015</v>
      </c>
      <c r="D2397" t="s">
        <v>35</v>
      </c>
      <c r="E2397" t="s">
        <v>133</v>
      </c>
      <c r="F2397" t="s">
        <v>606</v>
      </c>
      <c r="M2397" t="s">
        <v>137</v>
      </c>
      <c r="O2397" t="s">
        <v>150</v>
      </c>
      <c r="Q2397" t="s">
        <v>2016</v>
      </c>
      <c r="R2397" t="s">
        <v>2017</v>
      </c>
      <c r="S2397" t="s">
        <v>607</v>
      </c>
      <c r="T2397" t="s">
        <v>265</v>
      </c>
    </row>
    <row r="2398" spans="1:20" x14ac:dyDescent="0.2">
      <c r="A2398" t="s">
        <v>2013</v>
      </c>
      <c r="B2398" t="s">
        <v>2014</v>
      </c>
      <c r="C2398" t="s">
        <v>2015</v>
      </c>
      <c r="D2398" t="s">
        <v>35</v>
      </c>
      <c r="E2398" t="s">
        <v>133</v>
      </c>
      <c r="F2398" t="s">
        <v>997</v>
      </c>
      <c r="M2398" t="s">
        <v>137</v>
      </c>
      <c r="O2398" t="s">
        <v>150</v>
      </c>
      <c r="Q2398" t="s">
        <v>2016</v>
      </c>
      <c r="R2398" t="s">
        <v>2017</v>
      </c>
      <c r="S2398" t="s">
        <v>998</v>
      </c>
      <c r="T2398" t="s">
        <v>265</v>
      </c>
    </row>
    <row r="2399" spans="1:20" x14ac:dyDescent="0.2">
      <c r="A2399" t="s">
        <v>2013</v>
      </c>
      <c r="B2399" t="s">
        <v>2014</v>
      </c>
      <c r="C2399" t="s">
        <v>2015</v>
      </c>
      <c r="D2399" t="s">
        <v>35</v>
      </c>
      <c r="E2399" t="s">
        <v>133</v>
      </c>
      <c r="F2399" t="s">
        <v>2018</v>
      </c>
      <c r="M2399" t="s">
        <v>137</v>
      </c>
      <c r="O2399" t="s">
        <v>150</v>
      </c>
      <c r="Q2399" t="s">
        <v>2016</v>
      </c>
      <c r="R2399" t="s">
        <v>2017</v>
      </c>
      <c r="S2399" t="s">
        <v>615</v>
      </c>
      <c r="T2399" t="s">
        <v>265</v>
      </c>
    </row>
    <row r="2400" spans="1:20" x14ac:dyDescent="0.2">
      <c r="A2400" t="s">
        <v>6562</v>
      </c>
      <c r="B2400" t="s">
        <v>6563</v>
      </c>
      <c r="C2400" t="s">
        <v>6564</v>
      </c>
      <c r="D2400" t="s">
        <v>35</v>
      </c>
      <c r="E2400" t="s">
        <v>505</v>
      </c>
      <c r="F2400" t="s">
        <v>510</v>
      </c>
      <c r="G2400" t="s">
        <v>133</v>
      </c>
      <c r="H2400" t="s">
        <v>133</v>
      </c>
      <c r="O2400" t="s">
        <v>511</v>
      </c>
      <c r="Q2400" t="s">
        <v>6565</v>
      </c>
      <c r="R2400" t="s">
        <v>2017</v>
      </c>
      <c r="S2400" t="s">
        <v>506</v>
      </c>
      <c r="T2400" t="s">
        <v>265</v>
      </c>
    </row>
    <row r="2401" spans="1:20" x14ac:dyDescent="0.2">
      <c r="A2401" t="s">
        <v>6562</v>
      </c>
      <c r="B2401" t="s">
        <v>6563</v>
      </c>
      <c r="C2401" t="s">
        <v>6564</v>
      </c>
      <c r="D2401" t="s">
        <v>35</v>
      </c>
      <c r="E2401" t="s">
        <v>505</v>
      </c>
      <c r="F2401" t="s">
        <v>606</v>
      </c>
      <c r="G2401" t="s">
        <v>133</v>
      </c>
      <c r="H2401" t="s">
        <v>133</v>
      </c>
      <c r="O2401" t="s">
        <v>511</v>
      </c>
      <c r="Q2401" t="s">
        <v>6565</v>
      </c>
      <c r="R2401" t="s">
        <v>2017</v>
      </c>
      <c r="S2401" t="s">
        <v>607</v>
      </c>
      <c r="T2401" t="s">
        <v>265</v>
      </c>
    </row>
    <row r="2402" spans="1:20" x14ac:dyDescent="0.2">
      <c r="A2402" t="s">
        <v>6562</v>
      </c>
      <c r="B2402" t="s">
        <v>6563</v>
      </c>
      <c r="C2402" t="s">
        <v>6564</v>
      </c>
      <c r="D2402" t="s">
        <v>35</v>
      </c>
      <c r="E2402" t="s">
        <v>505</v>
      </c>
      <c r="F2402" t="s">
        <v>997</v>
      </c>
      <c r="G2402" t="s">
        <v>133</v>
      </c>
      <c r="H2402" t="s">
        <v>133</v>
      </c>
      <c r="O2402" t="s">
        <v>511</v>
      </c>
      <c r="Q2402" t="s">
        <v>6565</v>
      </c>
      <c r="R2402" t="s">
        <v>2017</v>
      </c>
      <c r="S2402" t="s">
        <v>998</v>
      </c>
      <c r="T2402" t="s">
        <v>265</v>
      </c>
    </row>
    <row r="2403" spans="1:20" x14ac:dyDescent="0.2">
      <c r="A2403" t="s">
        <v>6562</v>
      </c>
      <c r="B2403" t="s">
        <v>6563</v>
      </c>
      <c r="C2403" t="s">
        <v>6564</v>
      </c>
      <c r="D2403" t="s">
        <v>35</v>
      </c>
      <c r="E2403" t="s">
        <v>505</v>
      </c>
      <c r="F2403" t="s">
        <v>2010</v>
      </c>
      <c r="G2403" t="s">
        <v>133</v>
      </c>
      <c r="H2403" t="s">
        <v>133</v>
      </c>
      <c r="O2403" t="s">
        <v>511</v>
      </c>
      <c r="Q2403" t="s">
        <v>6565</v>
      </c>
      <c r="R2403" t="s">
        <v>2017</v>
      </c>
      <c r="S2403" t="s">
        <v>615</v>
      </c>
      <c r="T2403" t="s">
        <v>265</v>
      </c>
    </row>
    <row r="2404" spans="1:20" x14ac:dyDescent="0.2">
      <c r="A2404" t="s">
        <v>2019</v>
      </c>
      <c r="B2404" t="s">
        <v>2020</v>
      </c>
      <c r="C2404" t="s">
        <v>1015</v>
      </c>
      <c r="D2404" t="s">
        <v>35</v>
      </c>
      <c r="E2404" t="s">
        <v>505</v>
      </c>
      <c r="F2404" t="s">
        <v>133</v>
      </c>
      <c r="G2404" t="s">
        <v>1745</v>
      </c>
      <c r="H2404" t="s">
        <v>133</v>
      </c>
      <c r="M2404" t="s">
        <v>137</v>
      </c>
      <c r="O2404" t="s">
        <v>161</v>
      </c>
      <c r="S2404" t="s">
        <v>1005</v>
      </c>
      <c r="T2404" t="s">
        <v>265</v>
      </c>
    </row>
    <row r="2405" spans="1:20" x14ac:dyDescent="0.2">
      <c r="A2405" t="s">
        <v>2019</v>
      </c>
      <c r="B2405" t="s">
        <v>2020</v>
      </c>
      <c r="C2405" t="s">
        <v>1015</v>
      </c>
      <c r="D2405" t="s">
        <v>61</v>
      </c>
      <c r="E2405" t="s">
        <v>255</v>
      </c>
      <c r="F2405" t="s">
        <v>133</v>
      </c>
      <c r="G2405" t="s">
        <v>1745</v>
      </c>
      <c r="H2405" t="s">
        <v>133</v>
      </c>
      <c r="K2405" t="s">
        <v>276</v>
      </c>
      <c r="M2405" t="s">
        <v>137</v>
      </c>
      <c r="O2405" t="s">
        <v>161</v>
      </c>
    </row>
    <row r="2406" spans="1:20" x14ac:dyDescent="0.2">
      <c r="A2406" t="s">
        <v>2021</v>
      </c>
      <c r="B2406" t="s">
        <v>2022</v>
      </c>
      <c r="C2406" t="s">
        <v>2023</v>
      </c>
      <c r="D2406" t="s">
        <v>14</v>
      </c>
      <c r="E2406" t="s">
        <v>133</v>
      </c>
      <c r="H2406" t="s">
        <v>133</v>
      </c>
      <c r="K2406" t="s">
        <v>2024</v>
      </c>
      <c r="M2406" t="s">
        <v>136</v>
      </c>
    </row>
    <row r="2407" spans="1:20" x14ac:dyDescent="0.2">
      <c r="A2407" t="s">
        <v>2025</v>
      </c>
      <c r="B2407" t="s">
        <v>2026</v>
      </c>
      <c r="C2407" t="s">
        <v>2027</v>
      </c>
      <c r="D2407" t="s">
        <v>14</v>
      </c>
      <c r="E2407" t="s">
        <v>133</v>
      </c>
      <c r="H2407" t="s">
        <v>6566</v>
      </c>
      <c r="K2407" t="s">
        <v>2028</v>
      </c>
      <c r="M2407" t="s">
        <v>282</v>
      </c>
      <c r="O2407" t="s">
        <v>161</v>
      </c>
    </row>
    <row r="2408" spans="1:20" x14ac:dyDescent="0.2">
      <c r="A2408" t="s">
        <v>2029</v>
      </c>
      <c r="B2408" t="s">
        <v>2030</v>
      </c>
      <c r="C2408" t="s">
        <v>2031</v>
      </c>
      <c r="D2408" t="s">
        <v>14</v>
      </c>
      <c r="E2408" t="s">
        <v>133</v>
      </c>
      <c r="H2408" t="s">
        <v>6567</v>
      </c>
      <c r="K2408" t="s">
        <v>2032</v>
      </c>
      <c r="M2408" t="s">
        <v>282</v>
      </c>
      <c r="O2408" t="s">
        <v>161</v>
      </c>
    </row>
    <row r="2409" spans="1:20" x14ac:dyDescent="0.2">
      <c r="A2409" t="s">
        <v>2033</v>
      </c>
      <c r="B2409" t="s">
        <v>2034</v>
      </c>
      <c r="C2409" t="s">
        <v>2035</v>
      </c>
      <c r="D2409" t="s">
        <v>14</v>
      </c>
      <c r="E2409" t="s">
        <v>133</v>
      </c>
      <c r="H2409" t="s">
        <v>6567</v>
      </c>
      <c r="K2409" t="s">
        <v>2036</v>
      </c>
      <c r="M2409" t="s">
        <v>137</v>
      </c>
      <c r="O2409" t="s">
        <v>161</v>
      </c>
    </row>
    <row r="2410" spans="1:20" x14ac:dyDescent="0.2">
      <c r="A2410" t="s">
        <v>2037</v>
      </c>
      <c r="B2410" t="s">
        <v>2038</v>
      </c>
      <c r="C2410" t="s">
        <v>2039</v>
      </c>
      <c r="D2410" t="s">
        <v>24</v>
      </c>
      <c r="E2410" t="s">
        <v>133</v>
      </c>
      <c r="H2410" t="s">
        <v>6567</v>
      </c>
      <c r="M2410" t="s">
        <v>137</v>
      </c>
      <c r="O2410" t="s">
        <v>161</v>
      </c>
      <c r="S2410" t="s">
        <v>2040</v>
      </c>
    </row>
    <row r="2411" spans="1:20" x14ac:dyDescent="0.2">
      <c r="A2411" t="s">
        <v>2041</v>
      </c>
      <c r="B2411" t="s">
        <v>2042</v>
      </c>
      <c r="C2411" t="s">
        <v>2043</v>
      </c>
      <c r="D2411" t="s">
        <v>14</v>
      </c>
      <c r="E2411" t="s">
        <v>133</v>
      </c>
      <c r="H2411" t="s">
        <v>6567</v>
      </c>
      <c r="K2411" t="s">
        <v>2044</v>
      </c>
      <c r="M2411" t="s">
        <v>282</v>
      </c>
      <c r="O2411" t="s">
        <v>161</v>
      </c>
    </row>
    <row r="2412" spans="1:20" x14ac:dyDescent="0.2">
      <c r="A2412" t="s">
        <v>2045</v>
      </c>
      <c r="B2412" t="s">
        <v>2046</v>
      </c>
      <c r="C2412" t="s">
        <v>2047</v>
      </c>
      <c r="D2412" t="s">
        <v>14</v>
      </c>
      <c r="E2412" t="s">
        <v>133</v>
      </c>
      <c r="H2412" t="s">
        <v>6567</v>
      </c>
      <c r="K2412" t="s">
        <v>2048</v>
      </c>
      <c r="M2412" t="s">
        <v>282</v>
      </c>
      <c r="O2412" t="s">
        <v>161</v>
      </c>
    </row>
    <row r="2413" spans="1:20" x14ac:dyDescent="0.2">
      <c r="A2413" t="s">
        <v>2049</v>
      </c>
      <c r="B2413" t="s">
        <v>2050</v>
      </c>
      <c r="C2413" t="s">
        <v>2051</v>
      </c>
      <c r="D2413" t="s">
        <v>14</v>
      </c>
      <c r="E2413" t="s">
        <v>133</v>
      </c>
      <c r="H2413" t="s">
        <v>6567</v>
      </c>
      <c r="K2413" t="s">
        <v>2052</v>
      </c>
      <c r="M2413" t="s">
        <v>282</v>
      </c>
      <c r="O2413" t="s">
        <v>161</v>
      </c>
      <c r="P2413">
        <v>4507021</v>
      </c>
    </row>
    <row r="2414" spans="1:20" x14ac:dyDescent="0.2">
      <c r="A2414" t="s">
        <v>2053</v>
      </c>
      <c r="B2414" t="s">
        <v>2054</v>
      </c>
      <c r="C2414" t="s">
        <v>2055</v>
      </c>
      <c r="D2414" t="s">
        <v>24</v>
      </c>
      <c r="E2414" t="s">
        <v>133</v>
      </c>
      <c r="H2414" t="s">
        <v>6567</v>
      </c>
      <c r="M2414" t="s">
        <v>282</v>
      </c>
      <c r="O2414" t="s">
        <v>161</v>
      </c>
      <c r="Q2414" t="s">
        <v>2056</v>
      </c>
      <c r="S2414" t="s">
        <v>2040</v>
      </c>
    </row>
    <row r="2415" spans="1:20" x14ac:dyDescent="0.2">
      <c r="A2415" t="s">
        <v>2057</v>
      </c>
      <c r="B2415" t="s">
        <v>2058</v>
      </c>
      <c r="C2415" t="s">
        <v>2059</v>
      </c>
      <c r="D2415" t="s">
        <v>14</v>
      </c>
      <c r="E2415" t="s">
        <v>133</v>
      </c>
      <c r="H2415" t="s">
        <v>6567</v>
      </c>
      <c r="K2415" t="s">
        <v>2060</v>
      </c>
      <c r="M2415" t="s">
        <v>282</v>
      </c>
      <c r="O2415" t="s">
        <v>150</v>
      </c>
    </row>
    <row r="2416" spans="1:20" x14ac:dyDescent="0.2">
      <c r="A2416" t="s">
        <v>2061</v>
      </c>
      <c r="B2416" t="s">
        <v>2062</v>
      </c>
      <c r="C2416" t="s">
        <v>2063</v>
      </c>
      <c r="D2416" t="s">
        <v>24</v>
      </c>
      <c r="E2416" t="s">
        <v>133</v>
      </c>
      <c r="H2416" t="s">
        <v>6567</v>
      </c>
      <c r="M2416" t="s">
        <v>282</v>
      </c>
      <c r="O2416" t="s">
        <v>150</v>
      </c>
      <c r="Q2416" t="s">
        <v>2064</v>
      </c>
      <c r="S2416" t="s">
        <v>2040</v>
      </c>
    </row>
    <row r="2417" spans="1:19" x14ac:dyDescent="0.2">
      <c r="A2417" t="s">
        <v>2065</v>
      </c>
      <c r="B2417" t="s">
        <v>2066</v>
      </c>
      <c r="C2417" t="s">
        <v>2067</v>
      </c>
      <c r="D2417" t="s">
        <v>14</v>
      </c>
      <c r="E2417" t="s">
        <v>133</v>
      </c>
      <c r="H2417" t="s">
        <v>6567</v>
      </c>
      <c r="K2417" t="s">
        <v>2068</v>
      </c>
      <c r="M2417" t="s">
        <v>282</v>
      </c>
      <c r="O2417" t="s">
        <v>150</v>
      </c>
    </row>
    <row r="2418" spans="1:19" x14ac:dyDescent="0.2">
      <c r="A2418" t="s">
        <v>2069</v>
      </c>
      <c r="B2418" t="s">
        <v>2070</v>
      </c>
      <c r="C2418" t="s">
        <v>2071</v>
      </c>
      <c r="D2418" t="s">
        <v>24</v>
      </c>
      <c r="E2418" t="s">
        <v>133</v>
      </c>
      <c r="H2418" t="s">
        <v>6567</v>
      </c>
      <c r="M2418" t="s">
        <v>282</v>
      </c>
      <c r="O2418" t="s">
        <v>150</v>
      </c>
      <c r="Q2418" t="s">
        <v>2072</v>
      </c>
      <c r="S2418" t="s">
        <v>2040</v>
      </c>
    </row>
    <row r="2419" spans="1:19" x14ac:dyDescent="0.2">
      <c r="A2419" t="s">
        <v>2073</v>
      </c>
      <c r="B2419" t="s">
        <v>2074</v>
      </c>
      <c r="C2419" t="s">
        <v>2075</v>
      </c>
      <c r="D2419" t="s">
        <v>24</v>
      </c>
      <c r="E2419" t="s">
        <v>133</v>
      </c>
      <c r="H2419" t="s">
        <v>6567</v>
      </c>
      <c r="M2419" t="s">
        <v>282</v>
      </c>
      <c r="O2419" t="s">
        <v>150</v>
      </c>
      <c r="S2419" t="s">
        <v>2040</v>
      </c>
    </row>
    <row r="2420" spans="1:19" x14ac:dyDescent="0.2">
      <c r="A2420" t="s">
        <v>2076</v>
      </c>
      <c r="B2420" t="s">
        <v>2077</v>
      </c>
      <c r="C2420" t="s">
        <v>2078</v>
      </c>
      <c r="D2420" t="s">
        <v>14</v>
      </c>
      <c r="E2420" t="s">
        <v>133</v>
      </c>
      <c r="H2420" t="s">
        <v>6567</v>
      </c>
      <c r="K2420" t="s">
        <v>2079</v>
      </c>
      <c r="M2420" t="s">
        <v>282</v>
      </c>
      <c r="O2420" t="s">
        <v>161</v>
      </c>
      <c r="P2420">
        <v>4507041</v>
      </c>
    </row>
    <row r="2421" spans="1:19" x14ac:dyDescent="0.2">
      <c r="A2421" t="s">
        <v>2080</v>
      </c>
      <c r="B2421" t="s">
        <v>2081</v>
      </c>
      <c r="C2421" t="s">
        <v>2082</v>
      </c>
      <c r="D2421" t="s">
        <v>24</v>
      </c>
      <c r="E2421" t="s">
        <v>133</v>
      </c>
      <c r="H2421" t="s">
        <v>6567</v>
      </c>
      <c r="M2421" t="s">
        <v>282</v>
      </c>
      <c r="O2421" t="s">
        <v>161</v>
      </c>
      <c r="Q2421" t="s">
        <v>2083</v>
      </c>
      <c r="S2421" t="s">
        <v>2040</v>
      </c>
    </row>
    <row r="2422" spans="1:19" x14ac:dyDescent="0.2">
      <c r="A2422" t="s">
        <v>2084</v>
      </c>
      <c r="B2422" t="s">
        <v>2085</v>
      </c>
      <c r="C2422" t="s">
        <v>2086</v>
      </c>
      <c r="D2422" t="s">
        <v>14</v>
      </c>
      <c r="E2422" t="s">
        <v>133</v>
      </c>
      <c r="H2422" t="s">
        <v>6567</v>
      </c>
      <c r="K2422" t="s">
        <v>2087</v>
      </c>
      <c r="M2422" t="s">
        <v>282</v>
      </c>
      <c r="O2422" t="s">
        <v>150</v>
      </c>
    </row>
    <row r="2423" spans="1:19" x14ac:dyDescent="0.2">
      <c r="A2423" t="s">
        <v>2088</v>
      </c>
      <c r="B2423" t="s">
        <v>2089</v>
      </c>
      <c r="C2423" t="s">
        <v>2090</v>
      </c>
      <c r="D2423" t="s">
        <v>24</v>
      </c>
      <c r="E2423" t="s">
        <v>133</v>
      </c>
      <c r="H2423" t="s">
        <v>6567</v>
      </c>
      <c r="M2423" t="s">
        <v>282</v>
      </c>
      <c r="O2423" t="s">
        <v>150</v>
      </c>
      <c r="Q2423" t="s">
        <v>2091</v>
      </c>
      <c r="S2423" t="s">
        <v>2040</v>
      </c>
    </row>
    <row r="2424" spans="1:19" x14ac:dyDescent="0.2">
      <c r="A2424" t="s">
        <v>2092</v>
      </c>
      <c r="B2424" t="s">
        <v>2093</v>
      </c>
      <c r="C2424" t="s">
        <v>2094</v>
      </c>
      <c r="D2424" t="s">
        <v>14</v>
      </c>
      <c r="E2424" t="s">
        <v>133</v>
      </c>
      <c r="H2424" t="s">
        <v>6567</v>
      </c>
      <c r="K2424" t="s">
        <v>2095</v>
      </c>
      <c r="M2424" t="s">
        <v>282</v>
      </c>
      <c r="O2424" t="s">
        <v>150</v>
      </c>
    </row>
    <row r="2425" spans="1:19" x14ac:dyDescent="0.2">
      <c r="A2425" t="s">
        <v>2096</v>
      </c>
      <c r="B2425" t="s">
        <v>2097</v>
      </c>
      <c r="C2425" t="s">
        <v>2098</v>
      </c>
      <c r="D2425" t="s">
        <v>24</v>
      </c>
      <c r="E2425" t="s">
        <v>133</v>
      </c>
      <c r="H2425" t="s">
        <v>6567</v>
      </c>
      <c r="M2425" t="s">
        <v>282</v>
      </c>
      <c r="O2425" t="s">
        <v>150</v>
      </c>
      <c r="Q2425" t="s">
        <v>2099</v>
      </c>
      <c r="S2425" t="s">
        <v>2040</v>
      </c>
    </row>
    <row r="2426" spans="1:19" x14ac:dyDescent="0.2">
      <c r="A2426" t="s">
        <v>2100</v>
      </c>
      <c r="B2426" t="s">
        <v>2101</v>
      </c>
      <c r="C2426" t="s">
        <v>2102</v>
      </c>
      <c r="D2426" t="s">
        <v>24</v>
      </c>
      <c r="E2426" t="s">
        <v>133</v>
      </c>
      <c r="H2426" t="s">
        <v>6567</v>
      </c>
      <c r="M2426" t="s">
        <v>282</v>
      </c>
      <c r="O2426" t="s">
        <v>150</v>
      </c>
      <c r="S2426" t="s">
        <v>2040</v>
      </c>
    </row>
    <row r="2427" spans="1:19" x14ac:dyDescent="0.2">
      <c r="A2427" t="s">
        <v>2103</v>
      </c>
      <c r="B2427" t="s">
        <v>2104</v>
      </c>
      <c r="C2427" t="s">
        <v>2105</v>
      </c>
      <c r="D2427" t="s">
        <v>14</v>
      </c>
      <c r="E2427" t="s">
        <v>133</v>
      </c>
      <c r="H2427" t="s">
        <v>6567</v>
      </c>
      <c r="K2427" t="s">
        <v>2106</v>
      </c>
      <c r="M2427" t="s">
        <v>282</v>
      </c>
      <c r="O2427" t="s">
        <v>161</v>
      </c>
      <c r="P2427">
        <v>4507011</v>
      </c>
    </row>
    <row r="2428" spans="1:19" x14ac:dyDescent="0.2">
      <c r="A2428" t="s">
        <v>2107</v>
      </c>
      <c r="B2428" t="s">
        <v>2108</v>
      </c>
      <c r="C2428" t="s">
        <v>2109</v>
      </c>
      <c r="D2428" t="s">
        <v>24</v>
      </c>
      <c r="E2428" t="s">
        <v>133</v>
      </c>
      <c r="H2428" t="s">
        <v>6567</v>
      </c>
      <c r="M2428" t="s">
        <v>282</v>
      </c>
      <c r="O2428" t="s">
        <v>161</v>
      </c>
      <c r="Q2428" t="s">
        <v>2110</v>
      </c>
      <c r="S2428" t="s">
        <v>2040</v>
      </c>
    </row>
    <row r="2429" spans="1:19" x14ac:dyDescent="0.2">
      <c r="A2429" t="s">
        <v>2111</v>
      </c>
      <c r="B2429" t="s">
        <v>2112</v>
      </c>
      <c r="C2429" t="s">
        <v>2113</v>
      </c>
      <c r="D2429" t="s">
        <v>14</v>
      </c>
      <c r="E2429" t="s">
        <v>133</v>
      </c>
      <c r="H2429" t="s">
        <v>6567</v>
      </c>
      <c r="K2429" t="s">
        <v>2114</v>
      </c>
      <c r="M2429" t="s">
        <v>282</v>
      </c>
      <c r="O2429" t="s">
        <v>150</v>
      </c>
    </row>
    <row r="2430" spans="1:19" x14ac:dyDescent="0.2">
      <c r="A2430" t="s">
        <v>2115</v>
      </c>
      <c r="B2430" t="s">
        <v>2116</v>
      </c>
      <c r="C2430" t="s">
        <v>2117</v>
      </c>
      <c r="D2430" t="s">
        <v>24</v>
      </c>
      <c r="E2430" t="s">
        <v>133</v>
      </c>
      <c r="H2430" t="s">
        <v>6567</v>
      </c>
      <c r="M2430" t="s">
        <v>282</v>
      </c>
      <c r="O2430" t="s">
        <v>150</v>
      </c>
      <c r="Q2430" t="s">
        <v>2118</v>
      </c>
      <c r="S2430" t="s">
        <v>2040</v>
      </c>
    </row>
    <row r="2431" spans="1:19" x14ac:dyDescent="0.2">
      <c r="A2431" t="s">
        <v>2119</v>
      </c>
      <c r="B2431" t="s">
        <v>2120</v>
      </c>
      <c r="C2431" t="s">
        <v>2121</v>
      </c>
      <c r="D2431" t="s">
        <v>14</v>
      </c>
      <c r="E2431" t="s">
        <v>133</v>
      </c>
      <c r="H2431" t="s">
        <v>6567</v>
      </c>
      <c r="K2431" t="s">
        <v>2122</v>
      </c>
      <c r="M2431" t="s">
        <v>282</v>
      </c>
      <c r="O2431" t="s">
        <v>150</v>
      </c>
    </row>
    <row r="2432" spans="1:19" x14ac:dyDescent="0.2">
      <c r="A2432" t="s">
        <v>2123</v>
      </c>
      <c r="B2432" t="s">
        <v>2124</v>
      </c>
      <c r="C2432" t="s">
        <v>2125</v>
      </c>
      <c r="D2432" t="s">
        <v>24</v>
      </c>
      <c r="E2432" t="s">
        <v>133</v>
      </c>
      <c r="H2432" t="s">
        <v>6567</v>
      </c>
      <c r="M2432" t="s">
        <v>282</v>
      </c>
      <c r="O2432" t="s">
        <v>150</v>
      </c>
      <c r="Q2432" t="s">
        <v>2126</v>
      </c>
      <c r="S2432" t="s">
        <v>2040</v>
      </c>
    </row>
    <row r="2433" spans="1:19" x14ac:dyDescent="0.2">
      <c r="A2433" t="s">
        <v>2127</v>
      </c>
      <c r="B2433" t="s">
        <v>2128</v>
      </c>
      <c r="C2433" t="s">
        <v>2129</v>
      </c>
      <c r="D2433" t="s">
        <v>24</v>
      </c>
      <c r="E2433" t="s">
        <v>133</v>
      </c>
      <c r="H2433" t="s">
        <v>6567</v>
      </c>
      <c r="M2433" t="s">
        <v>282</v>
      </c>
      <c r="O2433" t="s">
        <v>150</v>
      </c>
      <c r="S2433" t="s">
        <v>2040</v>
      </c>
    </row>
    <row r="2434" spans="1:19" x14ac:dyDescent="0.2">
      <c r="A2434" t="s">
        <v>2130</v>
      </c>
      <c r="B2434" t="s">
        <v>2131</v>
      </c>
      <c r="C2434" t="s">
        <v>2132</v>
      </c>
      <c r="D2434" t="s">
        <v>14</v>
      </c>
      <c r="E2434" t="s">
        <v>133</v>
      </c>
      <c r="H2434" t="s">
        <v>6567</v>
      </c>
      <c r="K2434" t="s">
        <v>2133</v>
      </c>
      <c r="M2434" t="s">
        <v>282</v>
      </c>
      <c r="O2434" t="s">
        <v>161</v>
      </c>
      <c r="P2434">
        <v>4507051</v>
      </c>
    </row>
    <row r="2435" spans="1:19" x14ac:dyDescent="0.2">
      <c r="A2435" t="s">
        <v>2134</v>
      </c>
      <c r="B2435" t="s">
        <v>2135</v>
      </c>
      <c r="C2435" t="s">
        <v>2136</v>
      </c>
      <c r="D2435" t="s">
        <v>24</v>
      </c>
      <c r="E2435" t="s">
        <v>133</v>
      </c>
      <c r="H2435" t="s">
        <v>6567</v>
      </c>
      <c r="M2435" t="s">
        <v>282</v>
      </c>
      <c r="O2435" t="s">
        <v>161</v>
      </c>
      <c r="Q2435" t="s">
        <v>2137</v>
      </c>
      <c r="S2435" t="s">
        <v>2040</v>
      </c>
    </row>
    <row r="2436" spans="1:19" x14ac:dyDescent="0.2">
      <c r="A2436" t="s">
        <v>2138</v>
      </c>
      <c r="B2436" t="s">
        <v>2139</v>
      </c>
      <c r="C2436" t="s">
        <v>2140</v>
      </c>
      <c r="D2436" t="s">
        <v>14</v>
      </c>
      <c r="E2436" t="s">
        <v>133</v>
      </c>
      <c r="H2436" t="s">
        <v>6567</v>
      </c>
      <c r="K2436" t="s">
        <v>2141</v>
      </c>
      <c r="M2436" t="s">
        <v>282</v>
      </c>
      <c r="O2436" t="s">
        <v>150</v>
      </c>
    </row>
    <row r="2437" spans="1:19" x14ac:dyDescent="0.2">
      <c r="A2437" t="s">
        <v>2142</v>
      </c>
      <c r="B2437" t="s">
        <v>2143</v>
      </c>
      <c r="C2437" t="s">
        <v>2144</v>
      </c>
      <c r="D2437" t="s">
        <v>24</v>
      </c>
      <c r="E2437" t="s">
        <v>133</v>
      </c>
      <c r="H2437" t="s">
        <v>6567</v>
      </c>
      <c r="M2437" t="s">
        <v>282</v>
      </c>
      <c r="O2437" t="s">
        <v>150</v>
      </c>
      <c r="Q2437" t="s">
        <v>2145</v>
      </c>
      <c r="S2437" t="s">
        <v>2040</v>
      </c>
    </row>
    <row r="2438" spans="1:19" x14ac:dyDescent="0.2">
      <c r="A2438" t="s">
        <v>2146</v>
      </c>
      <c r="B2438" t="s">
        <v>2147</v>
      </c>
      <c r="C2438" t="s">
        <v>2148</v>
      </c>
      <c r="D2438" t="s">
        <v>14</v>
      </c>
      <c r="E2438" t="s">
        <v>133</v>
      </c>
      <c r="H2438" t="s">
        <v>6567</v>
      </c>
      <c r="K2438" t="s">
        <v>2149</v>
      </c>
      <c r="M2438" t="s">
        <v>282</v>
      </c>
      <c r="O2438" t="s">
        <v>150</v>
      </c>
    </row>
    <row r="2439" spans="1:19" x14ac:dyDescent="0.2">
      <c r="A2439" t="s">
        <v>2150</v>
      </c>
      <c r="B2439" t="s">
        <v>2151</v>
      </c>
      <c r="C2439" t="s">
        <v>2152</v>
      </c>
      <c r="D2439" t="s">
        <v>24</v>
      </c>
      <c r="E2439" t="s">
        <v>133</v>
      </c>
      <c r="H2439" t="s">
        <v>6567</v>
      </c>
      <c r="M2439" t="s">
        <v>282</v>
      </c>
      <c r="O2439" t="s">
        <v>150</v>
      </c>
      <c r="Q2439" t="s">
        <v>2153</v>
      </c>
      <c r="S2439" t="s">
        <v>2040</v>
      </c>
    </row>
    <row r="2440" spans="1:19" x14ac:dyDescent="0.2">
      <c r="A2440" t="s">
        <v>2154</v>
      </c>
      <c r="B2440" t="s">
        <v>2155</v>
      </c>
      <c r="C2440" t="s">
        <v>2156</v>
      </c>
      <c r="D2440" t="s">
        <v>24</v>
      </c>
      <c r="E2440" t="s">
        <v>133</v>
      </c>
      <c r="H2440" t="s">
        <v>6567</v>
      </c>
      <c r="M2440" t="s">
        <v>282</v>
      </c>
      <c r="O2440" t="s">
        <v>150</v>
      </c>
      <c r="S2440" t="s">
        <v>2040</v>
      </c>
    </row>
    <row r="2441" spans="1:19" x14ac:dyDescent="0.2">
      <c r="A2441" t="s">
        <v>2157</v>
      </c>
      <c r="B2441" t="s">
        <v>2158</v>
      </c>
      <c r="C2441" t="s">
        <v>2159</v>
      </c>
      <c r="D2441" t="s">
        <v>14</v>
      </c>
      <c r="E2441" t="s">
        <v>133</v>
      </c>
      <c r="H2441" t="s">
        <v>6567</v>
      </c>
      <c r="K2441" t="s">
        <v>2160</v>
      </c>
      <c r="M2441" t="s">
        <v>282</v>
      </c>
      <c r="O2441" t="s">
        <v>161</v>
      </c>
      <c r="P2441">
        <v>4507031</v>
      </c>
    </row>
    <row r="2442" spans="1:19" x14ac:dyDescent="0.2">
      <c r="A2442" t="s">
        <v>2161</v>
      </c>
      <c r="B2442" t="s">
        <v>2162</v>
      </c>
      <c r="C2442" t="s">
        <v>2163</v>
      </c>
      <c r="D2442" t="s">
        <v>24</v>
      </c>
      <c r="E2442" t="s">
        <v>133</v>
      </c>
      <c r="H2442" t="s">
        <v>6567</v>
      </c>
      <c r="M2442" t="s">
        <v>282</v>
      </c>
      <c r="O2442" t="s">
        <v>161</v>
      </c>
      <c r="Q2442" t="s">
        <v>2164</v>
      </c>
      <c r="S2442" t="s">
        <v>2040</v>
      </c>
    </row>
    <row r="2443" spans="1:19" x14ac:dyDescent="0.2">
      <c r="A2443" t="s">
        <v>2165</v>
      </c>
      <c r="B2443" t="s">
        <v>2166</v>
      </c>
      <c r="C2443" t="s">
        <v>2167</v>
      </c>
      <c r="D2443" t="s">
        <v>14</v>
      </c>
      <c r="E2443" t="s">
        <v>133</v>
      </c>
      <c r="H2443" t="s">
        <v>6567</v>
      </c>
      <c r="K2443" t="s">
        <v>2168</v>
      </c>
      <c r="M2443" t="s">
        <v>282</v>
      </c>
      <c r="O2443" t="s">
        <v>150</v>
      </c>
    </row>
    <row r="2444" spans="1:19" x14ac:dyDescent="0.2">
      <c r="A2444" t="s">
        <v>2169</v>
      </c>
      <c r="B2444" t="s">
        <v>2170</v>
      </c>
      <c r="C2444" t="s">
        <v>2171</v>
      </c>
      <c r="D2444" t="s">
        <v>24</v>
      </c>
      <c r="E2444" t="s">
        <v>133</v>
      </c>
      <c r="H2444" t="s">
        <v>6567</v>
      </c>
      <c r="M2444" t="s">
        <v>282</v>
      </c>
      <c r="O2444" t="s">
        <v>150</v>
      </c>
      <c r="Q2444" t="s">
        <v>2172</v>
      </c>
      <c r="S2444" t="s">
        <v>2040</v>
      </c>
    </row>
    <row r="2445" spans="1:19" x14ac:dyDescent="0.2">
      <c r="A2445" t="s">
        <v>2173</v>
      </c>
      <c r="B2445" t="s">
        <v>2174</v>
      </c>
      <c r="C2445" t="s">
        <v>2175</v>
      </c>
      <c r="D2445" t="s">
        <v>14</v>
      </c>
      <c r="E2445" t="s">
        <v>133</v>
      </c>
      <c r="H2445" t="s">
        <v>6567</v>
      </c>
      <c r="K2445" t="s">
        <v>2176</v>
      </c>
      <c r="M2445" t="s">
        <v>282</v>
      </c>
      <c r="O2445" t="s">
        <v>150</v>
      </c>
    </row>
    <row r="2446" spans="1:19" x14ac:dyDescent="0.2">
      <c r="A2446" t="s">
        <v>2177</v>
      </c>
      <c r="B2446" t="s">
        <v>2178</v>
      </c>
      <c r="C2446" t="s">
        <v>2179</v>
      </c>
      <c r="D2446" t="s">
        <v>24</v>
      </c>
      <c r="E2446" t="s">
        <v>133</v>
      </c>
      <c r="H2446" t="s">
        <v>6567</v>
      </c>
      <c r="M2446" t="s">
        <v>282</v>
      </c>
      <c r="O2446" t="s">
        <v>150</v>
      </c>
      <c r="Q2446" t="s">
        <v>2180</v>
      </c>
      <c r="S2446" t="s">
        <v>2040</v>
      </c>
    </row>
    <row r="2447" spans="1:19" x14ac:dyDescent="0.2">
      <c r="A2447" t="s">
        <v>2181</v>
      </c>
      <c r="B2447" t="s">
        <v>2182</v>
      </c>
      <c r="C2447" t="s">
        <v>2183</v>
      </c>
      <c r="D2447" t="s">
        <v>24</v>
      </c>
      <c r="E2447" t="s">
        <v>133</v>
      </c>
      <c r="H2447" t="s">
        <v>6567</v>
      </c>
      <c r="M2447" t="s">
        <v>282</v>
      </c>
      <c r="O2447" t="s">
        <v>150</v>
      </c>
      <c r="S2447" t="s">
        <v>2040</v>
      </c>
    </row>
    <row r="2448" spans="1:19" x14ac:dyDescent="0.2">
      <c r="A2448" t="s">
        <v>2184</v>
      </c>
      <c r="B2448" t="s">
        <v>2185</v>
      </c>
      <c r="C2448" t="s">
        <v>2186</v>
      </c>
      <c r="D2448" t="s">
        <v>61</v>
      </c>
      <c r="E2448" t="s">
        <v>133</v>
      </c>
      <c r="H2448" t="s">
        <v>6567</v>
      </c>
      <c r="K2448" t="s">
        <v>2187</v>
      </c>
      <c r="M2448" t="s">
        <v>282</v>
      </c>
      <c r="O2448" t="s">
        <v>161</v>
      </c>
    </row>
    <row r="2449" spans="1:19" x14ac:dyDescent="0.2">
      <c r="A2449" t="s">
        <v>2188</v>
      </c>
      <c r="B2449" t="s">
        <v>2189</v>
      </c>
      <c r="C2449" t="s">
        <v>2190</v>
      </c>
      <c r="D2449" t="s">
        <v>61</v>
      </c>
      <c r="E2449" t="s">
        <v>133</v>
      </c>
      <c r="H2449" t="s">
        <v>6567</v>
      </c>
      <c r="K2449" t="s">
        <v>2191</v>
      </c>
      <c r="M2449" t="s">
        <v>282</v>
      </c>
      <c r="O2449" t="s">
        <v>161</v>
      </c>
      <c r="P2449">
        <v>4507022</v>
      </c>
    </row>
    <row r="2450" spans="1:19" x14ac:dyDescent="0.2">
      <c r="A2450" t="s">
        <v>2192</v>
      </c>
      <c r="B2450" t="s">
        <v>2193</v>
      </c>
      <c r="C2450" t="s">
        <v>2194</v>
      </c>
      <c r="D2450" t="s">
        <v>24</v>
      </c>
      <c r="E2450" t="s">
        <v>133</v>
      </c>
      <c r="H2450" t="s">
        <v>6567</v>
      </c>
      <c r="M2450" t="s">
        <v>282</v>
      </c>
      <c r="O2450" t="s">
        <v>161</v>
      </c>
      <c r="Q2450" t="s">
        <v>2195</v>
      </c>
      <c r="S2450" t="s">
        <v>2040</v>
      </c>
    </row>
    <row r="2451" spans="1:19" x14ac:dyDescent="0.2">
      <c r="A2451" t="s">
        <v>2196</v>
      </c>
      <c r="B2451" t="s">
        <v>2197</v>
      </c>
      <c r="C2451" t="s">
        <v>2198</v>
      </c>
      <c r="D2451" t="s">
        <v>61</v>
      </c>
      <c r="E2451" t="s">
        <v>133</v>
      </c>
      <c r="H2451" t="s">
        <v>6567</v>
      </c>
      <c r="K2451" t="s">
        <v>2199</v>
      </c>
      <c r="M2451" t="s">
        <v>282</v>
      </c>
      <c r="O2451" t="s">
        <v>161</v>
      </c>
      <c r="P2451">
        <v>4507042</v>
      </c>
    </row>
    <row r="2452" spans="1:19" x14ac:dyDescent="0.2">
      <c r="A2452" t="s">
        <v>2200</v>
      </c>
      <c r="B2452" t="s">
        <v>2201</v>
      </c>
      <c r="C2452" t="s">
        <v>2202</v>
      </c>
      <c r="D2452" t="s">
        <v>24</v>
      </c>
      <c r="E2452" t="s">
        <v>133</v>
      </c>
      <c r="H2452" t="s">
        <v>6567</v>
      </c>
      <c r="M2452" t="s">
        <v>282</v>
      </c>
      <c r="O2452" t="s">
        <v>161</v>
      </c>
      <c r="Q2452" t="s">
        <v>2203</v>
      </c>
      <c r="S2452" t="s">
        <v>2040</v>
      </c>
    </row>
    <row r="2453" spans="1:19" x14ac:dyDescent="0.2">
      <c r="A2453" t="s">
        <v>2204</v>
      </c>
      <c r="B2453" t="s">
        <v>2205</v>
      </c>
      <c r="C2453" t="s">
        <v>2206</v>
      </c>
      <c r="D2453" t="s">
        <v>61</v>
      </c>
      <c r="E2453" t="s">
        <v>133</v>
      </c>
      <c r="H2453" t="s">
        <v>6567</v>
      </c>
      <c r="K2453" t="s">
        <v>2207</v>
      </c>
      <c r="M2453" t="s">
        <v>282</v>
      </c>
      <c r="O2453" t="s">
        <v>161</v>
      </c>
      <c r="P2453">
        <v>4507012</v>
      </c>
    </row>
    <row r="2454" spans="1:19" x14ac:dyDescent="0.2">
      <c r="A2454" t="s">
        <v>2208</v>
      </c>
      <c r="B2454" t="s">
        <v>2209</v>
      </c>
      <c r="C2454" t="s">
        <v>2210</v>
      </c>
      <c r="D2454" t="s">
        <v>24</v>
      </c>
      <c r="E2454" t="s">
        <v>133</v>
      </c>
      <c r="H2454" t="s">
        <v>6567</v>
      </c>
      <c r="M2454" t="s">
        <v>282</v>
      </c>
      <c r="O2454" t="s">
        <v>161</v>
      </c>
      <c r="Q2454" t="s">
        <v>2211</v>
      </c>
      <c r="S2454" t="s">
        <v>2040</v>
      </c>
    </row>
    <row r="2455" spans="1:19" x14ac:dyDescent="0.2">
      <c r="A2455" t="s">
        <v>2212</v>
      </c>
      <c r="B2455" t="s">
        <v>2213</v>
      </c>
      <c r="C2455" t="s">
        <v>2214</v>
      </c>
      <c r="D2455" t="s">
        <v>61</v>
      </c>
      <c r="E2455" t="s">
        <v>133</v>
      </c>
      <c r="H2455" t="s">
        <v>6567</v>
      </c>
      <c r="K2455" t="s">
        <v>2215</v>
      </c>
      <c r="M2455" t="s">
        <v>282</v>
      </c>
      <c r="O2455" t="s">
        <v>161</v>
      </c>
      <c r="P2455">
        <v>4507052</v>
      </c>
    </row>
    <row r="2456" spans="1:19" x14ac:dyDescent="0.2">
      <c r="A2456" t="s">
        <v>2216</v>
      </c>
      <c r="B2456" t="s">
        <v>2217</v>
      </c>
      <c r="C2456" t="s">
        <v>2218</v>
      </c>
      <c r="D2456" t="s">
        <v>24</v>
      </c>
      <c r="E2456" t="s">
        <v>133</v>
      </c>
      <c r="H2456" t="s">
        <v>6567</v>
      </c>
      <c r="M2456" t="s">
        <v>282</v>
      </c>
      <c r="O2456" t="s">
        <v>161</v>
      </c>
      <c r="Q2456" t="s">
        <v>2219</v>
      </c>
      <c r="S2456" t="s">
        <v>2040</v>
      </c>
    </row>
    <row r="2457" spans="1:19" x14ac:dyDescent="0.2">
      <c r="A2457" t="s">
        <v>2220</v>
      </c>
      <c r="B2457" t="s">
        <v>2221</v>
      </c>
      <c r="C2457" t="s">
        <v>2222</v>
      </c>
      <c r="D2457" t="s">
        <v>61</v>
      </c>
      <c r="E2457" t="s">
        <v>133</v>
      </c>
      <c r="H2457" t="s">
        <v>6567</v>
      </c>
      <c r="K2457" t="s">
        <v>2223</v>
      </c>
      <c r="M2457" t="s">
        <v>282</v>
      </c>
      <c r="O2457" t="s">
        <v>161</v>
      </c>
      <c r="P2457">
        <v>4507032</v>
      </c>
    </row>
    <row r="2458" spans="1:19" x14ac:dyDescent="0.2">
      <c r="A2458" t="s">
        <v>2224</v>
      </c>
      <c r="B2458" t="s">
        <v>2225</v>
      </c>
      <c r="C2458" t="s">
        <v>2226</v>
      </c>
      <c r="D2458" t="s">
        <v>24</v>
      </c>
      <c r="E2458" t="s">
        <v>133</v>
      </c>
      <c r="H2458" t="s">
        <v>6567</v>
      </c>
      <c r="M2458" t="s">
        <v>282</v>
      </c>
      <c r="O2458" t="s">
        <v>161</v>
      </c>
      <c r="Q2458" t="s">
        <v>2227</v>
      </c>
      <c r="S2458" t="s">
        <v>2040</v>
      </c>
    </row>
    <row r="2459" spans="1:19" x14ac:dyDescent="0.2">
      <c r="A2459" t="s">
        <v>2228</v>
      </c>
      <c r="B2459" t="s">
        <v>2229</v>
      </c>
      <c r="C2459" t="s">
        <v>2230</v>
      </c>
      <c r="D2459" t="s">
        <v>61</v>
      </c>
      <c r="E2459" t="s">
        <v>133</v>
      </c>
      <c r="H2459" t="s">
        <v>6567</v>
      </c>
      <c r="K2459" t="s">
        <v>2231</v>
      </c>
      <c r="M2459" t="s">
        <v>282</v>
      </c>
      <c r="O2459" t="s">
        <v>161</v>
      </c>
    </row>
    <row r="2460" spans="1:19" x14ac:dyDescent="0.2">
      <c r="A2460" t="s">
        <v>2232</v>
      </c>
      <c r="B2460" t="s">
        <v>2233</v>
      </c>
      <c r="C2460" t="s">
        <v>2234</v>
      </c>
      <c r="D2460" t="s">
        <v>24</v>
      </c>
      <c r="E2460" t="s">
        <v>133</v>
      </c>
      <c r="H2460" t="s">
        <v>6567</v>
      </c>
      <c r="M2460" t="s">
        <v>282</v>
      </c>
      <c r="O2460" t="s">
        <v>161</v>
      </c>
      <c r="S2460" t="s">
        <v>2040</v>
      </c>
    </row>
    <row r="2461" spans="1:19" x14ac:dyDescent="0.2">
      <c r="A2461" t="s">
        <v>2235</v>
      </c>
      <c r="B2461" t="s">
        <v>2236</v>
      </c>
      <c r="C2461" t="s">
        <v>2237</v>
      </c>
      <c r="D2461" t="s">
        <v>24</v>
      </c>
      <c r="E2461" t="s">
        <v>133</v>
      </c>
      <c r="H2461" t="s">
        <v>6567</v>
      </c>
      <c r="M2461" t="s">
        <v>282</v>
      </c>
      <c r="O2461" t="s">
        <v>161</v>
      </c>
      <c r="S2461" t="s">
        <v>2040</v>
      </c>
    </row>
    <row r="2462" spans="1:19" x14ac:dyDescent="0.2">
      <c r="A2462" t="s">
        <v>2238</v>
      </c>
      <c r="B2462" t="s">
        <v>2239</v>
      </c>
      <c r="C2462" t="s">
        <v>2240</v>
      </c>
      <c r="D2462" t="s">
        <v>24</v>
      </c>
      <c r="E2462" t="s">
        <v>133</v>
      </c>
      <c r="H2462" t="s">
        <v>6567</v>
      </c>
      <c r="M2462" t="s">
        <v>282</v>
      </c>
      <c r="O2462" t="s">
        <v>161</v>
      </c>
      <c r="S2462" t="s">
        <v>2040</v>
      </c>
    </row>
    <row r="2463" spans="1:19" x14ac:dyDescent="0.2">
      <c r="A2463" t="s">
        <v>2241</v>
      </c>
      <c r="B2463" t="s">
        <v>2242</v>
      </c>
      <c r="C2463" t="s">
        <v>2243</v>
      </c>
      <c r="D2463" t="s">
        <v>24</v>
      </c>
      <c r="E2463" t="s">
        <v>133</v>
      </c>
      <c r="H2463" t="s">
        <v>6567</v>
      </c>
      <c r="M2463" t="s">
        <v>282</v>
      </c>
      <c r="O2463" t="s">
        <v>161</v>
      </c>
      <c r="S2463" t="s">
        <v>2040</v>
      </c>
    </row>
    <row r="2464" spans="1:19" x14ac:dyDescent="0.2">
      <c r="A2464" t="s">
        <v>2244</v>
      </c>
      <c r="B2464" t="s">
        <v>2245</v>
      </c>
      <c r="C2464" t="s">
        <v>2246</v>
      </c>
      <c r="D2464" t="s">
        <v>24</v>
      </c>
      <c r="E2464" t="s">
        <v>133</v>
      </c>
      <c r="H2464" t="s">
        <v>6567</v>
      </c>
      <c r="M2464" t="s">
        <v>282</v>
      </c>
      <c r="O2464" t="s">
        <v>161</v>
      </c>
      <c r="S2464" t="s">
        <v>2040</v>
      </c>
    </row>
    <row r="2465" spans="1:19" x14ac:dyDescent="0.2">
      <c r="A2465" t="s">
        <v>2247</v>
      </c>
      <c r="B2465" t="s">
        <v>2248</v>
      </c>
      <c r="C2465" t="s">
        <v>2249</v>
      </c>
      <c r="D2465" t="s">
        <v>14</v>
      </c>
      <c r="E2465" t="s">
        <v>133</v>
      </c>
      <c r="H2465" t="s">
        <v>6568</v>
      </c>
      <c r="K2465" t="s">
        <v>2250</v>
      </c>
      <c r="M2465" t="s">
        <v>282</v>
      </c>
      <c r="O2465" t="s">
        <v>161</v>
      </c>
    </row>
    <row r="2466" spans="1:19" x14ac:dyDescent="0.2">
      <c r="A2466" t="s">
        <v>2251</v>
      </c>
      <c r="B2466" t="s">
        <v>2252</v>
      </c>
      <c r="C2466" t="s">
        <v>2253</v>
      </c>
      <c r="D2466" t="s">
        <v>14</v>
      </c>
      <c r="E2466" t="s">
        <v>133</v>
      </c>
      <c r="H2466" t="s">
        <v>6568</v>
      </c>
      <c r="K2466" t="s">
        <v>2254</v>
      </c>
      <c r="M2466" t="s">
        <v>137</v>
      </c>
      <c r="O2466" t="s">
        <v>161</v>
      </c>
    </row>
    <row r="2467" spans="1:19" x14ac:dyDescent="0.2">
      <c r="A2467" t="s">
        <v>2255</v>
      </c>
      <c r="B2467" t="s">
        <v>2256</v>
      </c>
      <c r="C2467" t="s">
        <v>2257</v>
      </c>
      <c r="D2467" t="s">
        <v>24</v>
      </c>
      <c r="E2467" t="s">
        <v>133</v>
      </c>
      <c r="H2467" t="s">
        <v>6568</v>
      </c>
      <c r="M2467" t="s">
        <v>137</v>
      </c>
      <c r="O2467" t="s">
        <v>161</v>
      </c>
      <c r="S2467" t="s">
        <v>2040</v>
      </c>
    </row>
    <row r="2468" spans="1:19" x14ac:dyDescent="0.2">
      <c r="A2468" t="s">
        <v>2258</v>
      </c>
      <c r="B2468" t="s">
        <v>2259</v>
      </c>
      <c r="C2468" t="s">
        <v>2260</v>
      </c>
      <c r="D2468" t="s">
        <v>14</v>
      </c>
      <c r="E2468" t="s">
        <v>133</v>
      </c>
      <c r="H2468" t="s">
        <v>6568</v>
      </c>
      <c r="K2468" t="s">
        <v>2261</v>
      </c>
      <c r="M2468" t="s">
        <v>282</v>
      </c>
      <c r="O2468" t="s">
        <v>161</v>
      </c>
    </row>
    <row r="2469" spans="1:19" x14ac:dyDescent="0.2">
      <c r="A2469" t="s">
        <v>2262</v>
      </c>
      <c r="B2469" t="s">
        <v>2263</v>
      </c>
      <c r="C2469" t="s">
        <v>2264</v>
      </c>
      <c r="D2469" t="s">
        <v>14</v>
      </c>
      <c r="E2469" t="s">
        <v>133</v>
      </c>
      <c r="H2469" t="s">
        <v>6568</v>
      </c>
      <c r="K2469" t="s">
        <v>2265</v>
      </c>
      <c r="M2469" t="s">
        <v>282</v>
      </c>
      <c r="O2469" t="s">
        <v>161</v>
      </c>
    </row>
    <row r="2470" spans="1:19" x14ac:dyDescent="0.2">
      <c r="A2470" t="s">
        <v>2266</v>
      </c>
      <c r="B2470" t="s">
        <v>2267</v>
      </c>
      <c r="C2470" t="s">
        <v>2268</v>
      </c>
      <c r="D2470" t="s">
        <v>14</v>
      </c>
      <c r="E2470" t="s">
        <v>133</v>
      </c>
      <c r="H2470" t="s">
        <v>6568</v>
      </c>
      <c r="K2470" t="s">
        <v>2269</v>
      </c>
      <c r="M2470" t="s">
        <v>282</v>
      </c>
      <c r="O2470" t="s">
        <v>161</v>
      </c>
      <c r="P2470">
        <v>4507081</v>
      </c>
    </row>
    <row r="2471" spans="1:19" x14ac:dyDescent="0.2">
      <c r="A2471" t="s">
        <v>2270</v>
      </c>
      <c r="B2471" t="s">
        <v>2271</v>
      </c>
      <c r="C2471" t="s">
        <v>2272</v>
      </c>
      <c r="D2471" t="s">
        <v>24</v>
      </c>
      <c r="E2471" t="s">
        <v>133</v>
      </c>
      <c r="H2471" t="s">
        <v>6568</v>
      </c>
      <c r="M2471" t="s">
        <v>282</v>
      </c>
      <c r="O2471" t="s">
        <v>161</v>
      </c>
      <c r="Q2471" t="s">
        <v>2273</v>
      </c>
      <c r="S2471" t="s">
        <v>2040</v>
      </c>
    </row>
    <row r="2472" spans="1:19" x14ac:dyDescent="0.2">
      <c r="A2472" t="s">
        <v>2274</v>
      </c>
      <c r="B2472" t="s">
        <v>2275</v>
      </c>
      <c r="C2472" t="s">
        <v>2276</v>
      </c>
      <c r="D2472" t="s">
        <v>14</v>
      </c>
      <c r="E2472" t="s">
        <v>133</v>
      </c>
      <c r="H2472" t="s">
        <v>6568</v>
      </c>
      <c r="K2472" t="s">
        <v>2277</v>
      </c>
      <c r="M2472" t="s">
        <v>282</v>
      </c>
      <c r="O2472" t="s">
        <v>150</v>
      </c>
    </row>
    <row r="2473" spans="1:19" x14ac:dyDescent="0.2">
      <c r="A2473" t="s">
        <v>2278</v>
      </c>
      <c r="B2473" t="s">
        <v>2279</v>
      </c>
      <c r="C2473" t="s">
        <v>2280</v>
      </c>
      <c r="D2473" t="s">
        <v>24</v>
      </c>
      <c r="E2473" t="s">
        <v>133</v>
      </c>
      <c r="H2473" t="s">
        <v>6568</v>
      </c>
      <c r="M2473" t="s">
        <v>282</v>
      </c>
      <c r="O2473" t="s">
        <v>150</v>
      </c>
      <c r="Q2473" t="s">
        <v>2281</v>
      </c>
      <c r="S2473" t="s">
        <v>2040</v>
      </c>
    </row>
    <row r="2474" spans="1:19" x14ac:dyDescent="0.2">
      <c r="A2474" t="s">
        <v>2282</v>
      </c>
      <c r="B2474" t="s">
        <v>2283</v>
      </c>
      <c r="C2474" t="s">
        <v>2284</v>
      </c>
      <c r="D2474" t="s">
        <v>14</v>
      </c>
      <c r="E2474" t="s">
        <v>133</v>
      </c>
      <c r="H2474" t="s">
        <v>6568</v>
      </c>
      <c r="K2474" t="s">
        <v>2285</v>
      </c>
      <c r="M2474" t="s">
        <v>282</v>
      </c>
      <c r="O2474" t="s">
        <v>150</v>
      </c>
    </row>
    <row r="2475" spans="1:19" x14ac:dyDescent="0.2">
      <c r="A2475" t="s">
        <v>2286</v>
      </c>
      <c r="B2475" t="s">
        <v>2287</v>
      </c>
      <c r="C2475" t="s">
        <v>2288</v>
      </c>
      <c r="D2475" t="s">
        <v>24</v>
      </c>
      <c r="E2475" t="s">
        <v>133</v>
      </c>
      <c r="H2475" t="s">
        <v>6568</v>
      </c>
      <c r="M2475" t="s">
        <v>282</v>
      </c>
      <c r="O2475" t="s">
        <v>150</v>
      </c>
      <c r="Q2475" t="s">
        <v>2289</v>
      </c>
      <c r="S2475" t="s">
        <v>2040</v>
      </c>
    </row>
    <row r="2476" spans="1:19" x14ac:dyDescent="0.2">
      <c r="A2476" t="s">
        <v>2290</v>
      </c>
      <c r="B2476" t="s">
        <v>2291</v>
      </c>
      <c r="C2476" t="s">
        <v>2292</v>
      </c>
      <c r="D2476" t="s">
        <v>24</v>
      </c>
      <c r="E2476" t="s">
        <v>133</v>
      </c>
      <c r="H2476" t="s">
        <v>6568</v>
      </c>
      <c r="M2476" t="s">
        <v>282</v>
      </c>
      <c r="O2476" t="s">
        <v>150</v>
      </c>
      <c r="S2476" t="s">
        <v>2040</v>
      </c>
    </row>
    <row r="2477" spans="1:19" x14ac:dyDescent="0.2">
      <c r="A2477" t="s">
        <v>2293</v>
      </c>
      <c r="B2477" t="s">
        <v>2294</v>
      </c>
      <c r="C2477" t="s">
        <v>2295</v>
      </c>
      <c r="D2477" t="s">
        <v>14</v>
      </c>
      <c r="E2477" t="s">
        <v>133</v>
      </c>
      <c r="H2477" t="s">
        <v>6568</v>
      </c>
      <c r="K2477" t="s">
        <v>2296</v>
      </c>
      <c r="M2477" t="s">
        <v>282</v>
      </c>
      <c r="O2477" t="s">
        <v>161</v>
      </c>
      <c r="P2477">
        <v>4507045</v>
      </c>
    </row>
    <row r="2478" spans="1:19" x14ac:dyDescent="0.2">
      <c r="A2478" t="s">
        <v>2297</v>
      </c>
      <c r="B2478" t="s">
        <v>2298</v>
      </c>
      <c r="C2478" t="s">
        <v>2299</v>
      </c>
      <c r="D2478" t="s">
        <v>24</v>
      </c>
      <c r="E2478" t="s">
        <v>133</v>
      </c>
      <c r="H2478" t="s">
        <v>6568</v>
      </c>
      <c r="M2478" t="s">
        <v>282</v>
      </c>
      <c r="O2478" t="s">
        <v>161</v>
      </c>
      <c r="Q2478" t="s">
        <v>2300</v>
      </c>
      <c r="S2478" t="s">
        <v>2040</v>
      </c>
    </row>
    <row r="2479" spans="1:19" x14ac:dyDescent="0.2">
      <c r="A2479" t="s">
        <v>2301</v>
      </c>
      <c r="B2479" t="s">
        <v>2302</v>
      </c>
      <c r="C2479" t="s">
        <v>2303</v>
      </c>
      <c r="D2479" t="s">
        <v>14</v>
      </c>
      <c r="E2479" t="s">
        <v>133</v>
      </c>
      <c r="H2479" t="s">
        <v>6568</v>
      </c>
      <c r="K2479" t="s">
        <v>2304</v>
      </c>
      <c r="M2479" t="s">
        <v>282</v>
      </c>
      <c r="O2479" t="s">
        <v>150</v>
      </c>
    </row>
    <row r="2480" spans="1:19" x14ac:dyDescent="0.2">
      <c r="A2480" t="s">
        <v>2305</v>
      </c>
      <c r="B2480" t="s">
        <v>2306</v>
      </c>
      <c r="C2480" t="s">
        <v>2307</v>
      </c>
      <c r="D2480" t="s">
        <v>24</v>
      </c>
      <c r="E2480" t="s">
        <v>133</v>
      </c>
      <c r="H2480" t="s">
        <v>6568</v>
      </c>
      <c r="M2480" t="s">
        <v>282</v>
      </c>
      <c r="O2480" t="s">
        <v>150</v>
      </c>
      <c r="Q2480" t="s">
        <v>2308</v>
      </c>
      <c r="S2480" t="s">
        <v>2040</v>
      </c>
    </row>
    <row r="2481" spans="1:19" x14ac:dyDescent="0.2">
      <c r="A2481" t="s">
        <v>2309</v>
      </c>
      <c r="B2481" t="s">
        <v>2310</v>
      </c>
      <c r="C2481" t="s">
        <v>2311</v>
      </c>
      <c r="D2481" t="s">
        <v>14</v>
      </c>
      <c r="E2481" t="s">
        <v>133</v>
      </c>
      <c r="H2481" t="s">
        <v>6568</v>
      </c>
      <c r="K2481" t="s">
        <v>2312</v>
      </c>
      <c r="M2481" t="s">
        <v>282</v>
      </c>
      <c r="O2481" t="s">
        <v>150</v>
      </c>
    </row>
    <row r="2482" spans="1:19" x14ac:dyDescent="0.2">
      <c r="A2482" t="s">
        <v>2313</v>
      </c>
      <c r="B2482" t="s">
        <v>2314</v>
      </c>
      <c r="C2482" t="s">
        <v>2315</v>
      </c>
      <c r="D2482" t="s">
        <v>24</v>
      </c>
      <c r="E2482" t="s">
        <v>133</v>
      </c>
      <c r="H2482" t="s">
        <v>6568</v>
      </c>
      <c r="M2482" t="s">
        <v>282</v>
      </c>
      <c r="O2482" t="s">
        <v>150</v>
      </c>
      <c r="Q2482" t="s">
        <v>2316</v>
      </c>
      <c r="S2482" t="s">
        <v>2040</v>
      </c>
    </row>
    <row r="2483" spans="1:19" x14ac:dyDescent="0.2">
      <c r="A2483" t="s">
        <v>2317</v>
      </c>
      <c r="B2483" t="s">
        <v>2318</v>
      </c>
      <c r="C2483" t="s">
        <v>2319</v>
      </c>
      <c r="D2483" t="s">
        <v>24</v>
      </c>
      <c r="E2483" t="s">
        <v>133</v>
      </c>
      <c r="H2483" t="s">
        <v>6568</v>
      </c>
      <c r="M2483" t="s">
        <v>282</v>
      </c>
      <c r="O2483" t="s">
        <v>150</v>
      </c>
      <c r="S2483" t="s">
        <v>2040</v>
      </c>
    </row>
    <row r="2484" spans="1:19" x14ac:dyDescent="0.2">
      <c r="A2484" t="s">
        <v>2320</v>
      </c>
      <c r="B2484" t="s">
        <v>2321</v>
      </c>
      <c r="C2484" t="s">
        <v>2322</v>
      </c>
      <c r="D2484" t="s">
        <v>14</v>
      </c>
      <c r="E2484" t="s">
        <v>133</v>
      </c>
      <c r="H2484" t="s">
        <v>6568</v>
      </c>
      <c r="K2484" t="s">
        <v>2323</v>
      </c>
      <c r="M2484" t="s">
        <v>282</v>
      </c>
      <c r="O2484" t="s">
        <v>161</v>
      </c>
      <c r="P2484">
        <v>4507025</v>
      </c>
    </row>
    <row r="2485" spans="1:19" x14ac:dyDescent="0.2">
      <c r="A2485" t="s">
        <v>2324</v>
      </c>
      <c r="B2485" t="s">
        <v>2325</v>
      </c>
      <c r="C2485" t="s">
        <v>2326</v>
      </c>
      <c r="D2485" t="s">
        <v>24</v>
      </c>
      <c r="E2485" t="s">
        <v>133</v>
      </c>
      <c r="H2485" t="s">
        <v>6568</v>
      </c>
      <c r="M2485" t="s">
        <v>282</v>
      </c>
      <c r="O2485" t="s">
        <v>161</v>
      </c>
      <c r="Q2485" t="s">
        <v>2327</v>
      </c>
      <c r="S2485" t="s">
        <v>2040</v>
      </c>
    </row>
    <row r="2486" spans="1:19" x14ac:dyDescent="0.2">
      <c r="A2486" t="s">
        <v>2328</v>
      </c>
      <c r="B2486" t="s">
        <v>2329</v>
      </c>
      <c r="C2486" t="s">
        <v>2330</v>
      </c>
      <c r="D2486" t="s">
        <v>14</v>
      </c>
      <c r="E2486" t="s">
        <v>133</v>
      </c>
      <c r="H2486" t="s">
        <v>6568</v>
      </c>
      <c r="K2486" t="s">
        <v>2331</v>
      </c>
      <c r="M2486" t="s">
        <v>282</v>
      </c>
      <c r="O2486" t="s">
        <v>150</v>
      </c>
    </row>
    <row r="2487" spans="1:19" x14ac:dyDescent="0.2">
      <c r="A2487" t="s">
        <v>2332</v>
      </c>
      <c r="B2487" t="s">
        <v>2333</v>
      </c>
      <c r="C2487" t="s">
        <v>2334</v>
      </c>
      <c r="D2487" t="s">
        <v>24</v>
      </c>
      <c r="E2487" t="s">
        <v>133</v>
      </c>
      <c r="H2487" t="s">
        <v>6568</v>
      </c>
      <c r="M2487" t="s">
        <v>282</v>
      </c>
      <c r="O2487" t="s">
        <v>150</v>
      </c>
      <c r="Q2487" t="s">
        <v>2335</v>
      </c>
      <c r="S2487" t="s">
        <v>2040</v>
      </c>
    </row>
    <row r="2488" spans="1:19" x14ac:dyDescent="0.2">
      <c r="A2488" t="s">
        <v>2336</v>
      </c>
      <c r="B2488" t="s">
        <v>2337</v>
      </c>
      <c r="C2488" t="s">
        <v>2338</v>
      </c>
      <c r="D2488" t="s">
        <v>14</v>
      </c>
      <c r="E2488" t="s">
        <v>133</v>
      </c>
      <c r="H2488" t="s">
        <v>6568</v>
      </c>
      <c r="K2488" t="s">
        <v>2339</v>
      </c>
      <c r="M2488" t="s">
        <v>282</v>
      </c>
      <c r="O2488" t="s">
        <v>150</v>
      </c>
    </row>
    <row r="2489" spans="1:19" x14ac:dyDescent="0.2">
      <c r="A2489" t="s">
        <v>2340</v>
      </c>
      <c r="B2489" t="s">
        <v>2341</v>
      </c>
      <c r="C2489" t="s">
        <v>2342</v>
      </c>
      <c r="D2489" t="s">
        <v>24</v>
      </c>
      <c r="E2489" t="s">
        <v>133</v>
      </c>
      <c r="H2489" t="s">
        <v>6568</v>
      </c>
      <c r="M2489" t="s">
        <v>282</v>
      </c>
      <c r="O2489" t="s">
        <v>150</v>
      </c>
      <c r="Q2489" t="s">
        <v>2343</v>
      </c>
      <c r="S2489" t="s">
        <v>2040</v>
      </c>
    </row>
    <row r="2490" spans="1:19" x14ac:dyDescent="0.2">
      <c r="A2490" t="s">
        <v>2344</v>
      </c>
      <c r="B2490" t="s">
        <v>2345</v>
      </c>
      <c r="C2490" t="s">
        <v>2346</v>
      </c>
      <c r="D2490" t="s">
        <v>24</v>
      </c>
      <c r="E2490" t="s">
        <v>133</v>
      </c>
      <c r="H2490" t="s">
        <v>6568</v>
      </c>
      <c r="M2490" t="s">
        <v>282</v>
      </c>
      <c r="O2490" t="s">
        <v>150</v>
      </c>
      <c r="S2490" t="s">
        <v>2040</v>
      </c>
    </row>
    <row r="2491" spans="1:19" x14ac:dyDescent="0.2">
      <c r="A2491" t="s">
        <v>2347</v>
      </c>
      <c r="B2491" t="s">
        <v>2348</v>
      </c>
      <c r="C2491" t="s">
        <v>2349</v>
      </c>
      <c r="D2491" t="s">
        <v>14</v>
      </c>
      <c r="E2491" t="s">
        <v>133</v>
      </c>
      <c r="H2491" t="s">
        <v>6568</v>
      </c>
      <c r="K2491" t="s">
        <v>2350</v>
      </c>
      <c r="M2491" t="s">
        <v>282</v>
      </c>
      <c r="O2491" t="s">
        <v>161</v>
      </c>
      <c r="P2491">
        <v>4507055</v>
      </c>
    </row>
    <row r="2492" spans="1:19" x14ac:dyDescent="0.2">
      <c r="A2492" t="s">
        <v>2351</v>
      </c>
      <c r="B2492" t="s">
        <v>2352</v>
      </c>
      <c r="C2492" t="s">
        <v>2353</v>
      </c>
      <c r="D2492" t="s">
        <v>24</v>
      </c>
      <c r="E2492" t="s">
        <v>133</v>
      </c>
      <c r="H2492" t="s">
        <v>6568</v>
      </c>
      <c r="M2492" t="s">
        <v>282</v>
      </c>
      <c r="O2492" t="s">
        <v>161</v>
      </c>
      <c r="Q2492" t="s">
        <v>2354</v>
      </c>
      <c r="S2492" t="s">
        <v>2040</v>
      </c>
    </row>
    <row r="2493" spans="1:19" x14ac:dyDescent="0.2">
      <c r="A2493" t="s">
        <v>2355</v>
      </c>
      <c r="B2493" t="s">
        <v>2356</v>
      </c>
      <c r="C2493" t="s">
        <v>2357</v>
      </c>
      <c r="D2493" t="s">
        <v>14</v>
      </c>
      <c r="E2493" t="s">
        <v>133</v>
      </c>
      <c r="H2493" t="s">
        <v>6568</v>
      </c>
      <c r="K2493" t="s">
        <v>2358</v>
      </c>
      <c r="M2493" t="s">
        <v>282</v>
      </c>
      <c r="O2493" t="s">
        <v>150</v>
      </c>
    </row>
    <row r="2494" spans="1:19" x14ac:dyDescent="0.2">
      <c r="A2494" t="s">
        <v>2359</v>
      </c>
      <c r="B2494" t="s">
        <v>2360</v>
      </c>
      <c r="C2494" t="s">
        <v>2361</v>
      </c>
      <c r="D2494" t="s">
        <v>24</v>
      </c>
      <c r="E2494" t="s">
        <v>133</v>
      </c>
      <c r="H2494" t="s">
        <v>6568</v>
      </c>
      <c r="M2494" t="s">
        <v>282</v>
      </c>
      <c r="O2494" t="s">
        <v>150</v>
      </c>
      <c r="Q2494" t="s">
        <v>2362</v>
      </c>
      <c r="S2494" t="s">
        <v>2040</v>
      </c>
    </row>
    <row r="2495" spans="1:19" x14ac:dyDescent="0.2">
      <c r="A2495" t="s">
        <v>2363</v>
      </c>
      <c r="B2495" t="s">
        <v>2364</v>
      </c>
      <c r="C2495" t="s">
        <v>2365</v>
      </c>
      <c r="D2495" t="s">
        <v>14</v>
      </c>
      <c r="E2495" t="s">
        <v>133</v>
      </c>
      <c r="H2495" t="s">
        <v>6568</v>
      </c>
      <c r="K2495" t="s">
        <v>2366</v>
      </c>
      <c r="M2495" t="s">
        <v>282</v>
      </c>
      <c r="O2495" t="s">
        <v>150</v>
      </c>
    </row>
    <row r="2496" spans="1:19" x14ac:dyDescent="0.2">
      <c r="A2496" t="s">
        <v>2367</v>
      </c>
      <c r="B2496" t="s">
        <v>2368</v>
      </c>
      <c r="C2496" t="s">
        <v>2369</v>
      </c>
      <c r="D2496" t="s">
        <v>24</v>
      </c>
      <c r="E2496" t="s">
        <v>133</v>
      </c>
      <c r="H2496" t="s">
        <v>6568</v>
      </c>
      <c r="M2496" t="s">
        <v>282</v>
      </c>
      <c r="O2496" t="s">
        <v>150</v>
      </c>
      <c r="Q2496" t="s">
        <v>2370</v>
      </c>
      <c r="S2496" t="s">
        <v>2040</v>
      </c>
    </row>
    <row r="2497" spans="1:19" x14ac:dyDescent="0.2">
      <c r="A2497" t="s">
        <v>2371</v>
      </c>
      <c r="B2497" t="s">
        <v>2372</v>
      </c>
      <c r="C2497" t="s">
        <v>2373</v>
      </c>
      <c r="D2497" t="s">
        <v>24</v>
      </c>
      <c r="E2497" t="s">
        <v>133</v>
      </c>
      <c r="H2497" t="s">
        <v>6568</v>
      </c>
      <c r="M2497" t="s">
        <v>282</v>
      </c>
      <c r="O2497" t="s">
        <v>150</v>
      </c>
      <c r="S2497" t="s">
        <v>2040</v>
      </c>
    </row>
    <row r="2498" spans="1:19" x14ac:dyDescent="0.2">
      <c r="A2498" t="s">
        <v>2374</v>
      </c>
      <c r="B2498" t="s">
        <v>2375</v>
      </c>
      <c r="C2498" t="s">
        <v>2376</v>
      </c>
      <c r="D2498" t="s">
        <v>14</v>
      </c>
      <c r="E2498" t="s">
        <v>133</v>
      </c>
      <c r="H2498" t="s">
        <v>6568</v>
      </c>
      <c r="K2498" t="s">
        <v>2377</v>
      </c>
      <c r="M2498" t="s">
        <v>282</v>
      </c>
      <c r="O2498" t="s">
        <v>161</v>
      </c>
      <c r="P2498">
        <v>4507035</v>
      </c>
    </row>
    <row r="2499" spans="1:19" x14ac:dyDescent="0.2">
      <c r="A2499" t="s">
        <v>2378</v>
      </c>
      <c r="B2499" t="s">
        <v>2379</v>
      </c>
      <c r="C2499" t="s">
        <v>2380</v>
      </c>
      <c r="D2499" t="s">
        <v>24</v>
      </c>
      <c r="E2499" t="s">
        <v>133</v>
      </c>
      <c r="H2499" t="s">
        <v>6568</v>
      </c>
      <c r="M2499" t="s">
        <v>282</v>
      </c>
      <c r="O2499" t="s">
        <v>161</v>
      </c>
      <c r="Q2499" t="s">
        <v>2381</v>
      </c>
      <c r="S2499" t="s">
        <v>2040</v>
      </c>
    </row>
    <row r="2500" spans="1:19" x14ac:dyDescent="0.2">
      <c r="A2500" t="s">
        <v>2382</v>
      </c>
      <c r="B2500" t="s">
        <v>2383</v>
      </c>
      <c r="C2500" t="s">
        <v>2384</v>
      </c>
      <c r="D2500" t="s">
        <v>14</v>
      </c>
      <c r="E2500" t="s">
        <v>133</v>
      </c>
      <c r="H2500" t="s">
        <v>6568</v>
      </c>
      <c r="K2500" t="s">
        <v>2385</v>
      </c>
      <c r="M2500" t="s">
        <v>282</v>
      </c>
      <c r="O2500" t="s">
        <v>150</v>
      </c>
    </row>
    <row r="2501" spans="1:19" x14ac:dyDescent="0.2">
      <c r="A2501" t="s">
        <v>2386</v>
      </c>
      <c r="B2501" t="s">
        <v>2387</v>
      </c>
      <c r="C2501" t="s">
        <v>2388</v>
      </c>
      <c r="D2501" t="s">
        <v>24</v>
      </c>
      <c r="E2501" t="s">
        <v>133</v>
      </c>
      <c r="H2501" t="s">
        <v>6568</v>
      </c>
      <c r="M2501" t="s">
        <v>282</v>
      </c>
      <c r="O2501" t="s">
        <v>150</v>
      </c>
      <c r="Q2501" t="s">
        <v>2389</v>
      </c>
      <c r="S2501" t="s">
        <v>2040</v>
      </c>
    </row>
    <row r="2502" spans="1:19" x14ac:dyDescent="0.2">
      <c r="A2502" t="s">
        <v>2390</v>
      </c>
      <c r="B2502" t="s">
        <v>2391</v>
      </c>
      <c r="C2502" t="s">
        <v>2392</v>
      </c>
      <c r="D2502" t="s">
        <v>14</v>
      </c>
      <c r="E2502" t="s">
        <v>133</v>
      </c>
      <c r="H2502" t="s">
        <v>6568</v>
      </c>
      <c r="K2502" t="s">
        <v>2393</v>
      </c>
      <c r="M2502" t="s">
        <v>282</v>
      </c>
      <c r="O2502" t="s">
        <v>150</v>
      </c>
    </row>
    <row r="2503" spans="1:19" x14ac:dyDescent="0.2">
      <c r="A2503" t="s">
        <v>2394</v>
      </c>
      <c r="B2503" t="s">
        <v>2395</v>
      </c>
      <c r="C2503" t="s">
        <v>2396</v>
      </c>
      <c r="D2503" t="s">
        <v>24</v>
      </c>
      <c r="E2503" t="s">
        <v>133</v>
      </c>
      <c r="H2503" t="s">
        <v>6568</v>
      </c>
      <c r="M2503" t="s">
        <v>282</v>
      </c>
      <c r="O2503" t="s">
        <v>150</v>
      </c>
      <c r="Q2503" t="s">
        <v>2397</v>
      </c>
      <c r="S2503" t="s">
        <v>2040</v>
      </c>
    </row>
    <row r="2504" spans="1:19" x14ac:dyDescent="0.2">
      <c r="A2504" t="s">
        <v>2398</v>
      </c>
      <c r="B2504" t="s">
        <v>2399</v>
      </c>
      <c r="C2504" t="s">
        <v>2400</v>
      </c>
      <c r="D2504" t="s">
        <v>24</v>
      </c>
      <c r="E2504" t="s">
        <v>133</v>
      </c>
      <c r="H2504" t="s">
        <v>6568</v>
      </c>
      <c r="M2504" t="s">
        <v>282</v>
      </c>
      <c r="O2504" t="s">
        <v>150</v>
      </c>
      <c r="S2504" t="s">
        <v>2040</v>
      </c>
    </row>
    <row r="2505" spans="1:19" x14ac:dyDescent="0.2">
      <c r="A2505" t="s">
        <v>2401</v>
      </c>
      <c r="B2505" t="s">
        <v>2402</v>
      </c>
      <c r="C2505" t="s">
        <v>2403</v>
      </c>
      <c r="D2505" t="s">
        <v>14</v>
      </c>
      <c r="E2505" t="s">
        <v>133</v>
      </c>
      <c r="H2505" t="s">
        <v>6568</v>
      </c>
      <c r="K2505" t="s">
        <v>2404</v>
      </c>
      <c r="M2505" t="s">
        <v>282</v>
      </c>
      <c r="O2505" t="s">
        <v>161</v>
      </c>
      <c r="P2505">
        <v>4507071</v>
      </c>
    </row>
    <row r="2506" spans="1:19" x14ac:dyDescent="0.2">
      <c r="A2506" t="s">
        <v>2405</v>
      </c>
      <c r="B2506" t="s">
        <v>2406</v>
      </c>
      <c r="C2506" t="s">
        <v>2407</v>
      </c>
      <c r="D2506" t="s">
        <v>24</v>
      </c>
      <c r="E2506" t="s">
        <v>133</v>
      </c>
      <c r="H2506" t="s">
        <v>6568</v>
      </c>
      <c r="M2506" t="s">
        <v>282</v>
      </c>
      <c r="O2506" t="s">
        <v>161</v>
      </c>
      <c r="Q2506" t="s">
        <v>2408</v>
      </c>
      <c r="S2506" t="s">
        <v>2040</v>
      </c>
    </row>
    <row r="2507" spans="1:19" x14ac:dyDescent="0.2">
      <c r="A2507" t="s">
        <v>2409</v>
      </c>
      <c r="B2507" t="s">
        <v>2410</v>
      </c>
      <c r="C2507" t="s">
        <v>2411</v>
      </c>
      <c r="D2507" t="s">
        <v>14</v>
      </c>
      <c r="E2507" t="s">
        <v>133</v>
      </c>
      <c r="H2507" t="s">
        <v>6568</v>
      </c>
      <c r="K2507" t="s">
        <v>2412</v>
      </c>
      <c r="M2507" t="s">
        <v>282</v>
      </c>
      <c r="O2507" t="s">
        <v>150</v>
      </c>
    </row>
    <row r="2508" spans="1:19" x14ac:dyDescent="0.2">
      <c r="A2508" t="s">
        <v>2413</v>
      </c>
      <c r="B2508" t="s">
        <v>2414</v>
      </c>
      <c r="C2508" t="s">
        <v>2415</v>
      </c>
      <c r="D2508" t="s">
        <v>24</v>
      </c>
      <c r="E2508" t="s">
        <v>133</v>
      </c>
      <c r="H2508" t="s">
        <v>6568</v>
      </c>
      <c r="M2508" t="s">
        <v>282</v>
      </c>
      <c r="O2508" t="s">
        <v>150</v>
      </c>
      <c r="Q2508" t="s">
        <v>2416</v>
      </c>
      <c r="S2508" t="s">
        <v>2040</v>
      </c>
    </row>
    <row r="2509" spans="1:19" x14ac:dyDescent="0.2">
      <c r="A2509" t="s">
        <v>2417</v>
      </c>
      <c r="B2509" t="s">
        <v>2418</v>
      </c>
      <c r="C2509" t="s">
        <v>2419</v>
      </c>
      <c r="D2509" t="s">
        <v>14</v>
      </c>
      <c r="E2509" t="s">
        <v>133</v>
      </c>
      <c r="H2509" t="s">
        <v>6568</v>
      </c>
      <c r="K2509" t="s">
        <v>2420</v>
      </c>
      <c r="M2509" t="s">
        <v>282</v>
      </c>
      <c r="O2509" t="s">
        <v>150</v>
      </c>
    </row>
    <row r="2510" spans="1:19" x14ac:dyDescent="0.2">
      <c r="A2510" t="s">
        <v>2421</v>
      </c>
      <c r="B2510" t="s">
        <v>2422</v>
      </c>
      <c r="C2510" t="s">
        <v>2423</v>
      </c>
      <c r="D2510" t="s">
        <v>24</v>
      </c>
      <c r="E2510" t="s">
        <v>133</v>
      </c>
      <c r="H2510" t="s">
        <v>6568</v>
      </c>
      <c r="M2510" t="s">
        <v>282</v>
      </c>
      <c r="O2510" t="s">
        <v>150</v>
      </c>
      <c r="Q2510" t="s">
        <v>2424</v>
      </c>
      <c r="S2510" t="s">
        <v>2040</v>
      </c>
    </row>
    <row r="2511" spans="1:19" x14ac:dyDescent="0.2">
      <c r="A2511" t="s">
        <v>2425</v>
      </c>
      <c r="B2511" t="s">
        <v>2426</v>
      </c>
      <c r="C2511" t="s">
        <v>2427</v>
      </c>
      <c r="D2511" t="s">
        <v>24</v>
      </c>
      <c r="E2511" t="s">
        <v>133</v>
      </c>
      <c r="H2511" t="s">
        <v>6568</v>
      </c>
      <c r="M2511" t="s">
        <v>282</v>
      </c>
      <c r="O2511" t="s">
        <v>150</v>
      </c>
      <c r="S2511" t="s">
        <v>2040</v>
      </c>
    </row>
    <row r="2512" spans="1:19" x14ac:dyDescent="0.2">
      <c r="A2512" t="s">
        <v>2428</v>
      </c>
      <c r="B2512" t="s">
        <v>2429</v>
      </c>
      <c r="C2512" t="s">
        <v>2430</v>
      </c>
      <c r="D2512" t="s">
        <v>14</v>
      </c>
      <c r="E2512" t="s">
        <v>133</v>
      </c>
      <c r="H2512" t="s">
        <v>6568</v>
      </c>
      <c r="K2512" t="s">
        <v>2431</v>
      </c>
      <c r="M2512" t="s">
        <v>282</v>
      </c>
      <c r="O2512" t="s">
        <v>161</v>
      </c>
      <c r="P2512">
        <v>4507044</v>
      </c>
    </row>
    <row r="2513" spans="1:19" x14ac:dyDescent="0.2">
      <c r="A2513" t="s">
        <v>2432</v>
      </c>
      <c r="B2513" t="s">
        <v>2433</v>
      </c>
      <c r="C2513" t="s">
        <v>2434</v>
      </c>
      <c r="D2513" t="s">
        <v>24</v>
      </c>
      <c r="E2513" t="s">
        <v>133</v>
      </c>
      <c r="H2513" t="s">
        <v>6568</v>
      </c>
      <c r="M2513" t="s">
        <v>282</v>
      </c>
      <c r="O2513" t="s">
        <v>161</v>
      </c>
      <c r="Q2513" t="s">
        <v>2435</v>
      </c>
      <c r="S2513" t="s">
        <v>2040</v>
      </c>
    </row>
    <row r="2514" spans="1:19" x14ac:dyDescent="0.2">
      <c r="A2514" t="s">
        <v>2436</v>
      </c>
      <c r="B2514" t="s">
        <v>2437</v>
      </c>
      <c r="C2514" t="s">
        <v>2438</v>
      </c>
      <c r="D2514" t="s">
        <v>14</v>
      </c>
      <c r="E2514" t="s">
        <v>133</v>
      </c>
      <c r="H2514" t="s">
        <v>6568</v>
      </c>
      <c r="K2514" t="s">
        <v>2439</v>
      </c>
      <c r="M2514" t="s">
        <v>282</v>
      </c>
      <c r="O2514" t="s">
        <v>150</v>
      </c>
    </row>
    <row r="2515" spans="1:19" x14ac:dyDescent="0.2">
      <c r="A2515" t="s">
        <v>2440</v>
      </c>
      <c r="B2515" t="s">
        <v>2441</v>
      </c>
      <c r="C2515" t="s">
        <v>2442</v>
      </c>
      <c r="D2515" t="s">
        <v>24</v>
      </c>
      <c r="E2515" t="s">
        <v>133</v>
      </c>
      <c r="H2515" t="s">
        <v>6568</v>
      </c>
      <c r="M2515" t="s">
        <v>282</v>
      </c>
      <c r="O2515" t="s">
        <v>150</v>
      </c>
      <c r="Q2515" t="s">
        <v>2443</v>
      </c>
      <c r="S2515" t="s">
        <v>2040</v>
      </c>
    </row>
    <row r="2516" spans="1:19" x14ac:dyDescent="0.2">
      <c r="A2516" t="s">
        <v>2444</v>
      </c>
      <c r="B2516" t="s">
        <v>2445</v>
      </c>
      <c r="C2516" t="s">
        <v>2446</v>
      </c>
      <c r="D2516" t="s">
        <v>14</v>
      </c>
      <c r="E2516" t="s">
        <v>133</v>
      </c>
      <c r="H2516" t="s">
        <v>6568</v>
      </c>
      <c r="K2516" t="s">
        <v>2447</v>
      </c>
      <c r="M2516" t="s">
        <v>282</v>
      </c>
      <c r="O2516" t="s">
        <v>150</v>
      </c>
    </row>
    <row r="2517" spans="1:19" x14ac:dyDescent="0.2">
      <c r="A2517" t="s">
        <v>2448</v>
      </c>
      <c r="B2517" t="s">
        <v>2449</v>
      </c>
      <c r="C2517" t="s">
        <v>2450</v>
      </c>
      <c r="D2517" t="s">
        <v>24</v>
      </c>
      <c r="E2517" t="s">
        <v>133</v>
      </c>
      <c r="H2517" t="s">
        <v>6568</v>
      </c>
      <c r="M2517" t="s">
        <v>282</v>
      </c>
      <c r="O2517" t="s">
        <v>150</v>
      </c>
      <c r="Q2517" t="s">
        <v>2451</v>
      </c>
      <c r="S2517" t="s">
        <v>2040</v>
      </c>
    </row>
    <row r="2518" spans="1:19" x14ac:dyDescent="0.2">
      <c r="A2518" t="s">
        <v>2452</v>
      </c>
      <c r="B2518" t="s">
        <v>2453</v>
      </c>
      <c r="C2518" t="s">
        <v>2454</v>
      </c>
      <c r="D2518" t="s">
        <v>24</v>
      </c>
      <c r="E2518" t="s">
        <v>133</v>
      </c>
      <c r="H2518" t="s">
        <v>6568</v>
      </c>
      <c r="M2518" t="s">
        <v>282</v>
      </c>
      <c r="O2518" t="s">
        <v>150</v>
      </c>
      <c r="S2518" t="s">
        <v>2040</v>
      </c>
    </row>
    <row r="2519" spans="1:19" x14ac:dyDescent="0.2">
      <c r="A2519" t="s">
        <v>2455</v>
      </c>
      <c r="B2519" t="s">
        <v>2456</v>
      </c>
      <c r="C2519" t="s">
        <v>2457</v>
      </c>
      <c r="D2519" t="s">
        <v>14</v>
      </c>
      <c r="E2519" t="s">
        <v>133</v>
      </c>
      <c r="H2519" t="s">
        <v>6568</v>
      </c>
      <c r="K2519" t="s">
        <v>2458</v>
      </c>
      <c r="M2519" t="s">
        <v>282</v>
      </c>
      <c r="O2519" t="s">
        <v>161</v>
      </c>
      <c r="P2519">
        <v>4507015</v>
      </c>
    </row>
    <row r="2520" spans="1:19" x14ac:dyDescent="0.2">
      <c r="A2520" t="s">
        <v>2459</v>
      </c>
      <c r="B2520" t="s">
        <v>2460</v>
      </c>
      <c r="C2520" t="s">
        <v>2461</v>
      </c>
      <c r="D2520" t="s">
        <v>24</v>
      </c>
      <c r="E2520" t="s">
        <v>133</v>
      </c>
      <c r="H2520" t="s">
        <v>6568</v>
      </c>
      <c r="M2520" t="s">
        <v>282</v>
      </c>
      <c r="O2520" t="s">
        <v>161</v>
      </c>
      <c r="Q2520" t="s">
        <v>2462</v>
      </c>
      <c r="S2520" t="s">
        <v>2040</v>
      </c>
    </row>
    <row r="2521" spans="1:19" x14ac:dyDescent="0.2">
      <c r="A2521" t="s">
        <v>2463</v>
      </c>
      <c r="B2521" t="s">
        <v>2464</v>
      </c>
      <c r="C2521" t="s">
        <v>2465</v>
      </c>
      <c r="D2521" t="s">
        <v>14</v>
      </c>
      <c r="E2521" t="s">
        <v>133</v>
      </c>
      <c r="H2521" t="s">
        <v>6568</v>
      </c>
      <c r="K2521" t="s">
        <v>2466</v>
      </c>
      <c r="M2521" t="s">
        <v>282</v>
      </c>
      <c r="O2521" t="s">
        <v>150</v>
      </c>
    </row>
    <row r="2522" spans="1:19" x14ac:dyDescent="0.2">
      <c r="A2522" t="s">
        <v>2467</v>
      </c>
      <c r="B2522" t="s">
        <v>2468</v>
      </c>
      <c r="C2522" t="s">
        <v>2469</v>
      </c>
      <c r="D2522" t="s">
        <v>24</v>
      </c>
      <c r="E2522" t="s">
        <v>133</v>
      </c>
      <c r="H2522" t="s">
        <v>6568</v>
      </c>
      <c r="M2522" t="s">
        <v>282</v>
      </c>
      <c r="O2522" t="s">
        <v>150</v>
      </c>
      <c r="Q2522" t="s">
        <v>2470</v>
      </c>
      <c r="S2522" t="s">
        <v>2040</v>
      </c>
    </row>
    <row r="2523" spans="1:19" x14ac:dyDescent="0.2">
      <c r="A2523" t="s">
        <v>2471</v>
      </c>
      <c r="B2523" t="s">
        <v>2472</v>
      </c>
      <c r="C2523" t="s">
        <v>2473</v>
      </c>
      <c r="D2523" t="s">
        <v>14</v>
      </c>
      <c r="E2523" t="s">
        <v>133</v>
      </c>
      <c r="H2523" t="s">
        <v>6568</v>
      </c>
      <c r="K2523" t="s">
        <v>2474</v>
      </c>
      <c r="M2523" t="s">
        <v>282</v>
      </c>
      <c r="O2523" t="s">
        <v>150</v>
      </c>
    </row>
    <row r="2524" spans="1:19" x14ac:dyDescent="0.2">
      <c r="A2524" t="s">
        <v>2475</v>
      </c>
      <c r="B2524" t="s">
        <v>2476</v>
      </c>
      <c r="C2524" t="s">
        <v>2477</v>
      </c>
      <c r="D2524" t="s">
        <v>24</v>
      </c>
      <c r="E2524" t="s">
        <v>133</v>
      </c>
      <c r="H2524" t="s">
        <v>6568</v>
      </c>
      <c r="M2524" t="s">
        <v>282</v>
      </c>
      <c r="O2524" t="s">
        <v>150</v>
      </c>
      <c r="Q2524" t="s">
        <v>2478</v>
      </c>
      <c r="S2524" t="s">
        <v>2040</v>
      </c>
    </row>
    <row r="2525" spans="1:19" x14ac:dyDescent="0.2">
      <c r="A2525" t="s">
        <v>2479</v>
      </c>
      <c r="B2525" t="s">
        <v>2480</v>
      </c>
      <c r="C2525" t="s">
        <v>2481</v>
      </c>
      <c r="D2525" t="s">
        <v>24</v>
      </c>
      <c r="E2525" t="s">
        <v>133</v>
      </c>
      <c r="H2525" t="s">
        <v>6568</v>
      </c>
      <c r="M2525" t="s">
        <v>282</v>
      </c>
      <c r="O2525" t="s">
        <v>150</v>
      </c>
      <c r="S2525" t="s">
        <v>2040</v>
      </c>
    </row>
    <row r="2526" spans="1:19" x14ac:dyDescent="0.2">
      <c r="A2526" t="s">
        <v>2482</v>
      </c>
      <c r="B2526" t="s">
        <v>2483</v>
      </c>
      <c r="C2526" t="s">
        <v>2484</v>
      </c>
      <c r="D2526" t="s">
        <v>14</v>
      </c>
      <c r="E2526" t="s">
        <v>133</v>
      </c>
      <c r="H2526" t="s">
        <v>6568</v>
      </c>
      <c r="K2526" t="s">
        <v>2485</v>
      </c>
      <c r="M2526" t="s">
        <v>282</v>
      </c>
      <c r="O2526" t="s">
        <v>161</v>
      </c>
      <c r="P2526">
        <v>4507054</v>
      </c>
    </row>
    <row r="2527" spans="1:19" x14ac:dyDescent="0.2">
      <c r="A2527" t="s">
        <v>2486</v>
      </c>
      <c r="B2527" t="s">
        <v>2487</v>
      </c>
      <c r="C2527" t="s">
        <v>2488</v>
      </c>
      <c r="D2527" t="s">
        <v>24</v>
      </c>
      <c r="E2527" t="s">
        <v>133</v>
      </c>
      <c r="H2527" t="s">
        <v>6568</v>
      </c>
      <c r="M2527" t="s">
        <v>282</v>
      </c>
      <c r="O2527" t="s">
        <v>161</v>
      </c>
      <c r="Q2527" t="s">
        <v>2489</v>
      </c>
      <c r="S2527" t="s">
        <v>2040</v>
      </c>
    </row>
    <row r="2528" spans="1:19" x14ac:dyDescent="0.2">
      <c r="A2528" t="s">
        <v>2490</v>
      </c>
      <c r="B2528" t="s">
        <v>2491</v>
      </c>
      <c r="C2528" t="s">
        <v>2492</v>
      </c>
      <c r="D2528" t="s">
        <v>14</v>
      </c>
      <c r="E2528" t="s">
        <v>133</v>
      </c>
      <c r="H2528" t="s">
        <v>6568</v>
      </c>
      <c r="K2528" t="s">
        <v>2493</v>
      </c>
      <c r="M2528" t="s">
        <v>282</v>
      </c>
      <c r="O2528" t="s">
        <v>150</v>
      </c>
    </row>
    <row r="2529" spans="1:19" x14ac:dyDescent="0.2">
      <c r="A2529" t="s">
        <v>2494</v>
      </c>
      <c r="B2529" t="s">
        <v>2495</v>
      </c>
      <c r="C2529" t="s">
        <v>2496</v>
      </c>
      <c r="D2529" t="s">
        <v>24</v>
      </c>
      <c r="E2529" t="s">
        <v>133</v>
      </c>
      <c r="H2529" t="s">
        <v>6568</v>
      </c>
      <c r="M2529" t="s">
        <v>282</v>
      </c>
      <c r="O2529" t="s">
        <v>150</v>
      </c>
      <c r="Q2529" t="s">
        <v>2497</v>
      </c>
      <c r="S2529" t="s">
        <v>2040</v>
      </c>
    </row>
    <row r="2530" spans="1:19" x14ac:dyDescent="0.2">
      <c r="A2530" t="s">
        <v>2498</v>
      </c>
      <c r="B2530" t="s">
        <v>2499</v>
      </c>
      <c r="C2530" t="s">
        <v>2500</v>
      </c>
      <c r="D2530" t="s">
        <v>14</v>
      </c>
      <c r="E2530" t="s">
        <v>133</v>
      </c>
      <c r="H2530" t="s">
        <v>6568</v>
      </c>
      <c r="K2530" t="s">
        <v>2501</v>
      </c>
      <c r="M2530" t="s">
        <v>282</v>
      </c>
      <c r="O2530" t="s">
        <v>150</v>
      </c>
    </row>
    <row r="2531" spans="1:19" x14ac:dyDescent="0.2">
      <c r="A2531" t="s">
        <v>2502</v>
      </c>
      <c r="B2531" t="s">
        <v>2503</v>
      </c>
      <c r="C2531" t="s">
        <v>2504</v>
      </c>
      <c r="D2531" t="s">
        <v>24</v>
      </c>
      <c r="E2531" t="s">
        <v>133</v>
      </c>
      <c r="H2531" t="s">
        <v>6568</v>
      </c>
      <c r="M2531" t="s">
        <v>282</v>
      </c>
      <c r="O2531" t="s">
        <v>150</v>
      </c>
      <c r="Q2531" t="s">
        <v>2505</v>
      </c>
      <c r="S2531" t="s">
        <v>2040</v>
      </c>
    </row>
    <row r="2532" spans="1:19" x14ac:dyDescent="0.2">
      <c r="A2532" t="s">
        <v>2506</v>
      </c>
      <c r="B2532" t="s">
        <v>2507</v>
      </c>
      <c r="C2532" t="s">
        <v>2508</v>
      </c>
      <c r="D2532" t="s">
        <v>24</v>
      </c>
      <c r="E2532" t="s">
        <v>133</v>
      </c>
      <c r="H2532" t="s">
        <v>6568</v>
      </c>
      <c r="M2532" t="s">
        <v>282</v>
      </c>
      <c r="O2532" t="s">
        <v>150</v>
      </c>
      <c r="S2532" t="s">
        <v>2040</v>
      </c>
    </row>
    <row r="2533" spans="1:19" x14ac:dyDescent="0.2">
      <c r="A2533" t="s">
        <v>2509</v>
      </c>
      <c r="B2533" t="s">
        <v>2510</v>
      </c>
      <c r="C2533" t="s">
        <v>2511</v>
      </c>
      <c r="D2533" t="s">
        <v>14</v>
      </c>
      <c r="E2533" t="s">
        <v>133</v>
      </c>
      <c r="H2533" t="s">
        <v>6568</v>
      </c>
      <c r="K2533" t="s">
        <v>2512</v>
      </c>
      <c r="M2533" t="s">
        <v>282</v>
      </c>
      <c r="O2533" t="s">
        <v>161</v>
      </c>
      <c r="P2533">
        <v>4507034</v>
      </c>
    </row>
    <row r="2534" spans="1:19" x14ac:dyDescent="0.2">
      <c r="A2534" t="s">
        <v>2513</v>
      </c>
      <c r="B2534" t="s">
        <v>2514</v>
      </c>
      <c r="C2534" t="s">
        <v>2515</v>
      </c>
      <c r="D2534" t="s">
        <v>24</v>
      </c>
      <c r="E2534" t="s">
        <v>133</v>
      </c>
      <c r="H2534" t="s">
        <v>6568</v>
      </c>
      <c r="M2534" t="s">
        <v>282</v>
      </c>
      <c r="O2534" t="s">
        <v>161</v>
      </c>
      <c r="Q2534" t="s">
        <v>2516</v>
      </c>
      <c r="S2534" t="s">
        <v>2040</v>
      </c>
    </row>
    <row r="2535" spans="1:19" x14ac:dyDescent="0.2">
      <c r="A2535" t="s">
        <v>2517</v>
      </c>
      <c r="B2535" t="s">
        <v>2518</v>
      </c>
      <c r="C2535" t="s">
        <v>2519</v>
      </c>
      <c r="D2535" t="s">
        <v>14</v>
      </c>
      <c r="E2535" t="s">
        <v>133</v>
      </c>
      <c r="H2535" t="s">
        <v>6568</v>
      </c>
      <c r="K2535" t="s">
        <v>2520</v>
      </c>
      <c r="M2535" t="s">
        <v>282</v>
      </c>
      <c r="O2535" t="s">
        <v>150</v>
      </c>
    </row>
    <row r="2536" spans="1:19" x14ac:dyDescent="0.2">
      <c r="A2536" t="s">
        <v>2521</v>
      </c>
      <c r="B2536" t="s">
        <v>2522</v>
      </c>
      <c r="C2536" t="s">
        <v>2523</v>
      </c>
      <c r="D2536" t="s">
        <v>24</v>
      </c>
      <c r="E2536" t="s">
        <v>133</v>
      </c>
      <c r="H2536" t="s">
        <v>6568</v>
      </c>
      <c r="M2536" t="s">
        <v>282</v>
      </c>
      <c r="O2536" t="s">
        <v>150</v>
      </c>
      <c r="Q2536" t="s">
        <v>2524</v>
      </c>
      <c r="S2536" t="s">
        <v>2040</v>
      </c>
    </row>
    <row r="2537" spans="1:19" x14ac:dyDescent="0.2">
      <c r="A2537" t="s">
        <v>2525</v>
      </c>
      <c r="B2537" t="s">
        <v>2526</v>
      </c>
      <c r="C2537" t="s">
        <v>2527</v>
      </c>
      <c r="D2537" t="s">
        <v>14</v>
      </c>
      <c r="E2537" t="s">
        <v>133</v>
      </c>
      <c r="H2537" t="s">
        <v>6568</v>
      </c>
      <c r="K2537" t="s">
        <v>2528</v>
      </c>
      <c r="M2537" t="s">
        <v>282</v>
      </c>
      <c r="O2537" t="s">
        <v>150</v>
      </c>
    </row>
    <row r="2538" spans="1:19" x14ac:dyDescent="0.2">
      <c r="A2538" t="s">
        <v>2529</v>
      </c>
      <c r="B2538" t="s">
        <v>2530</v>
      </c>
      <c r="C2538" t="s">
        <v>2531</v>
      </c>
      <c r="D2538" t="s">
        <v>24</v>
      </c>
      <c r="E2538" t="s">
        <v>133</v>
      </c>
      <c r="H2538" t="s">
        <v>6568</v>
      </c>
      <c r="M2538" t="s">
        <v>282</v>
      </c>
      <c r="O2538" t="s">
        <v>150</v>
      </c>
      <c r="Q2538" t="s">
        <v>2532</v>
      </c>
      <c r="S2538" t="s">
        <v>2040</v>
      </c>
    </row>
    <row r="2539" spans="1:19" x14ac:dyDescent="0.2">
      <c r="A2539" t="s">
        <v>2533</v>
      </c>
      <c r="B2539" t="s">
        <v>2534</v>
      </c>
      <c r="C2539" t="s">
        <v>2535</v>
      </c>
      <c r="D2539" t="s">
        <v>24</v>
      </c>
      <c r="E2539" t="s">
        <v>133</v>
      </c>
      <c r="H2539" t="s">
        <v>6568</v>
      </c>
      <c r="M2539" t="s">
        <v>282</v>
      </c>
      <c r="O2539" t="s">
        <v>150</v>
      </c>
      <c r="S2539" t="s">
        <v>2040</v>
      </c>
    </row>
    <row r="2540" spans="1:19" x14ac:dyDescent="0.2">
      <c r="A2540" t="s">
        <v>2536</v>
      </c>
      <c r="B2540" t="s">
        <v>2537</v>
      </c>
      <c r="C2540" t="s">
        <v>2538</v>
      </c>
      <c r="D2540" t="s">
        <v>61</v>
      </c>
      <c r="E2540" t="s">
        <v>133</v>
      </c>
      <c r="H2540" t="s">
        <v>6568</v>
      </c>
      <c r="K2540" t="s">
        <v>2539</v>
      </c>
      <c r="M2540" t="s">
        <v>282</v>
      </c>
      <c r="O2540" t="s">
        <v>161</v>
      </c>
    </row>
    <row r="2541" spans="1:19" x14ac:dyDescent="0.2">
      <c r="A2541" t="s">
        <v>2540</v>
      </c>
      <c r="B2541" t="s">
        <v>2541</v>
      </c>
      <c r="C2541" t="s">
        <v>2542</v>
      </c>
      <c r="D2541" t="s">
        <v>61</v>
      </c>
      <c r="E2541" t="s">
        <v>133</v>
      </c>
      <c r="H2541" t="s">
        <v>6568</v>
      </c>
      <c r="K2541" t="s">
        <v>2543</v>
      </c>
      <c r="M2541" t="s">
        <v>282</v>
      </c>
      <c r="O2541" t="s">
        <v>161</v>
      </c>
      <c r="P2541">
        <v>4507072</v>
      </c>
    </row>
    <row r="2542" spans="1:19" x14ac:dyDescent="0.2">
      <c r="A2542" t="s">
        <v>2544</v>
      </c>
      <c r="B2542" t="s">
        <v>2545</v>
      </c>
      <c r="C2542" t="s">
        <v>2546</v>
      </c>
      <c r="D2542" t="s">
        <v>24</v>
      </c>
      <c r="E2542" t="s">
        <v>133</v>
      </c>
      <c r="H2542" t="s">
        <v>6568</v>
      </c>
      <c r="M2542" t="s">
        <v>282</v>
      </c>
      <c r="O2542" t="s">
        <v>161</v>
      </c>
      <c r="Q2542" t="s">
        <v>2547</v>
      </c>
      <c r="S2542" t="s">
        <v>2040</v>
      </c>
    </row>
    <row r="2543" spans="1:19" x14ac:dyDescent="0.2">
      <c r="A2543" t="s">
        <v>2548</v>
      </c>
      <c r="B2543" t="s">
        <v>2549</v>
      </c>
      <c r="C2543" t="s">
        <v>2550</v>
      </c>
      <c r="D2543" t="s">
        <v>61</v>
      </c>
      <c r="E2543" t="s">
        <v>133</v>
      </c>
      <c r="H2543" t="s">
        <v>6568</v>
      </c>
      <c r="K2543" t="s">
        <v>2551</v>
      </c>
      <c r="M2543" t="s">
        <v>282</v>
      </c>
      <c r="O2543" t="s">
        <v>161</v>
      </c>
      <c r="P2543">
        <v>4507046</v>
      </c>
    </row>
    <row r="2544" spans="1:19" x14ac:dyDescent="0.2">
      <c r="A2544" t="s">
        <v>2552</v>
      </c>
      <c r="B2544" t="s">
        <v>2553</v>
      </c>
      <c r="C2544" t="s">
        <v>2554</v>
      </c>
      <c r="D2544" t="s">
        <v>24</v>
      </c>
      <c r="E2544" t="s">
        <v>133</v>
      </c>
      <c r="H2544" t="s">
        <v>6568</v>
      </c>
      <c r="M2544" t="s">
        <v>282</v>
      </c>
      <c r="O2544" t="s">
        <v>161</v>
      </c>
      <c r="Q2544" t="s">
        <v>2555</v>
      </c>
      <c r="S2544" t="s">
        <v>2040</v>
      </c>
    </row>
    <row r="2545" spans="1:19" x14ac:dyDescent="0.2">
      <c r="A2545" t="s">
        <v>2556</v>
      </c>
      <c r="B2545" t="s">
        <v>2557</v>
      </c>
      <c r="C2545" t="s">
        <v>2558</v>
      </c>
      <c r="D2545" t="s">
        <v>61</v>
      </c>
      <c r="E2545" t="s">
        <v>133</v>
      </c>
      <c r="H2545" t="s">
        <v>6568</v>
      </c>
      <c r="K2545" t="s">
        <v>2559</v>
      </c>
      <c r="M2545" t="s">
        <v>282</v>
      </c>
      <c r="O2545" t="s">
        <v>161</v>
      </c>
      <c r="P2545">
        <v>4507024</v>
      </c>
    </row>
    <row r="2546" spans="1:19" x14ac:dyDescent="0.2">
      <c r="A2546" t="s">
        <v>2560</v>
      </c>
      <c r="B2546" t="s">
        <v>2561</v>
      </c>
      <c r="C2546" t="s">
        <v>2562</v>
      </c>
      <c r="D2546" t="s">
        <v>24</v>
      </c>
      <c r="E2546" t="s">
        <v>133</v>
      </c>
      <c r="H2546" t="s">
        <v>6568</v>
      </c>
      <c r="M2546" t="s">
        <v>282</v>
      </c>
      <c r="O2546" t="s">
        <v>161</v>
      </c>
      <c r="Q2546" t="s">
        <v>2563</v>
      </c>
      <c r="S2546" t="s">
        <v>2040</v>
      </c>
    </row>
    <row r="2547" spans="1:19" x14ac:dyDescent="0.2">
      <c r="A2547" t="s">
        <v>2564</v>
      </c>
      <c r="B2547" t="s">
        <v>2565</v>
      </c>
      <c r="C2547" t="s">
        <v>2566</v>
      </c>
      <c r="D2547" t="s">
        <v>61</v>
      </c>
      <c r="E2547" t="s">
        <v>133</v>
      </c>
      <c r="H2547" t="s">
        <v>6568</v>
      </c>
      <c r="K2547" t="s">
        <v>2567</v>
      </c>
      <c r="M2547" t="s">
        <v>282</v>
      </c>
      <c r="O2547" t="s">
        <v>161</v>
      </c>
      <c r="P2547">
        <v>4507056</v>
      </c>
    </row>
    <row r="2548" spans="1:19" x14ac:dyDescent="0.2">
      <c r="A2548" t="s">
        <v>2568</v>
      </c>
      <c r="B2548" t="s">
        <v>2569</v>
      </c>
      <c r="C2548" t="s">
        <v>2570</v>
      </c>
      <c r="D2548" t="s">
        <v>24</v>
      </c>
      <c r="E2548" t="s">
        <v>133</v>
      </c>
      <c r="H2548" t="s">
        <v>6568</v>
      </c>
      <c r="M2548" t="s">
        <v>282</v>
      </c>
      <c r="O2548" t="s">
        <v>161</v>
      </c>
      <c r="Q2548" t="s">
        <v>2571</v>
      </c>
      <c r="S2548" t="s">
        <v>2040</v>
      </c>
    </row>
    <row r="2549" spans="1:19" x14ac:dyDescent="0.2">
      <c r="A2549" t="s">
        <v>2572</v>
      </c>
      <c r="B2549" t="s">
        <v>2573</v>
      </c>
      <c r="C2549" t="s">
        <v>2574</v>
      </c>
      <c r="D2549" t="s">
        <v>61</v>
      </c>
      <c r="E2549" t="s">
        <v>133</v>
      </c>
      <c r="H2549" t="s">
        <v>6568</v>
      </c>
      <c r="K2549" t="s">
        <v>2575</v>
      </c>
      <c r="M2549" t="s">
        <v>282</v>
      </c>
      <c r="O2549" t="s">
        <v>161</v>
      </c>
      <c r="P2549">
        <v>4507036</v>
      </c>
    </row>
    <row r="2550" spans="1:19" x14ac:dyDescent="0.2">
      <c r="A2550" t="s">
        <v>2576</v>
      </c>
      <c r="B2550" t="s">
        <v>2577</v>
      </c>
      <c r="C2550" t="s">
        <v>2578</v>
      </c>
      <c r="D2550" t="s">
        <v>24</v>
      </c>
      <c r="E2550" t="s">
        <v>133</v>
      </c>
      <c r="H2550" t="s">
        <v>6568</v>
      </c>
      <c r="M2550" t="s">
        <v>282</v>
      </c>
      <c r="O2550" t="s">
        <v>161</v>
      </c>
      <c r="Q2550" t="s">
        <v>2579</v>
      </c>
      <c r="S2550" t="s">
        <v>2040</v>
      </c>
    </row>
    <row r="2551" spans="1:19" x14ac:dyDescent="0.2">
      <c r="A2551" t="s">
        <v>2580</v>
      </c>
      <c r="B2551" t="s">
        <v>2581</v>
      </c>
      <c r="C2551" t="s">
        <v>2582</v>
      </c>
      <c r="D2551" t="s">
        <v>61</v>
      </c>
      <c r="E2551" t="s">
        <v>133</v>
      </c>
      <c r="H2551" t="s">
        <v>6568</v>
      </c>
      <c r="K2551" t="s">
        <v>2583</v>
      </c>
      <c r="M2551" t="s">
        <v>282</v>
      </c>
      <c r="O2551" t="s">
        <v>161</v>
      </c>
      <c r="P2551">
        <v>4507072</v>
      </c>
    </row>
    <row r="2552" spans="1:19" x14ac:dyDescent="0.2">
      <c r="A2552" t="s">
        <v>2584</v>
      </c>
      <c r="B2552" t="s">
        <v>2585</v>
      </c>
      <c r="C2552" t="s">
        <v>2586</v>
      </c>
      <c r="D2552" t="s">
        <v>24</v>
      </c>
      <c r="E2552" t="s">
        <v>133</v>
      </c>
      <c r="H2552" t="s">
        <v>6568</v>
      </c>
      <c r="M2552" t="s">
        <v>282</v>
      </c>
      <c r="O2552" t="s">
        <v>161</v>
      </c>
      <c r="Q2552" t="s">
        <v>2587</v>
      </c>
      <c r="S2552" t="s">
        <v>2040</v>
      </c>
    </row>
    <row r="2553" spans="1:19" x14ac:dyDescent="0.2">
      <c r="A2553" t="s">
        <v>2588</v>
      </c>
      <c r="B2553" t="s">
        <v>2589</v>
      </c>
      <c r="C2553" t="s">
        <v>2590</v>
      </c>
      <c r="D2553" t="s">
        <v>61</v>
      </c>
      <c r="E2553" t="s">
        <v>133</v>
      </c>
      <c r="H2553" t="s">
        <v>6568</v>
      </c>
      <c r="K2553" t="s">
        <v>2591</v>
      </c>
      <c r="M2553" t="s">
        <v>282</v>
      </c>
      <c r="O2553" t="s">
        <v>161</v>
      </c>
      <c r="P2553">
        <v>4507046</v>
      </c>
    </row>
    <row r="2554" spans="1:19" x14ac:dyDescent="0.2">
      <c r="A2554" t="s">
        <v>2592</v>
      </c>
      <c r="B2554" t="s">
        <v>2593</v>
      </c>
      <c r="C2554" t="s">
        <v>2594</v>
      </c>
      <c r="D2554" t="s">
        <v>24</v>
      </c>
      <c r="E2554" t="s">
        <v>133</v>
      </c>
      <c r="H2554" t="s">
        <v>6568</v>
      </c>
      <c r="M2554" t="s">
        <v>282</v>
      </c>
      <c r="O2554" t="s">
        <v>161</v>
      </c>
      <c r="Q2554" t="s">
        <v>2595</v>
      </c>
      <c r="S2554" t="s">
        <v>2040</v>
      </c>
    </row>
    <row r="2555" spans="1:19" x14ac:dyDescent="0.2">
      <c r="A2555" t="s">
        <v>2596</v>
      </c>
      <c r="B2555" t="s">
        <v>2597</v>
      </c>
      <c r="C2555" t="s">
        <v>2598</v>
      </c>
      <c r="D2555" t="s">
        <v>61</v>
      </c>
      <c r="E2555" t="s">
        <v>133</v>
      </c>
      <c r="H2555" t="s">
        <v>6568</v>
      </c>
      <c r="K2555" t="s">
        <v>2599</v>
      </c>
      <c r="M2555" t="s">
        <v>282</v>
      </c>
      <c r="O2555" t="s">
        <v>161</v>
      </c>
      <c r="P2555">
        <v>4507024</v>
      </c>
    </row>
    <row r="2556" spans="1:19" x14ac:dyDescent="0.2">
      <c r="A2556" t="s">
        <v>2600</v>
      </c>
      <c r="B2556" t="s">
        <v>2601</v>
      </c>
      <c r="C2556" t="s">
        <v>2602</v>
      </c>
      <c r="D2556" t="s">
        <v>24</v>
      </c>
      <c r="E2556" t="s">
        <v>133</v>
      </c>
      <c r="H2556" t="s">
        <v>6568</v>
      </c>
      <c r="M2556" t="s">
        <v>282</v>
      </c>
      <c r="O2556" t="s">
        <v>161</v>
      </c>
      <c r="Q2556" t="s">
        <v>2603</v>
      </c>
      <c r="S2556" t="s">
        <v>2040</v>
      </c>
    </row>
    <row r="2557" spans="1:19" x14ac:dyDescent="0.2">
      <c r="A2557" t="s">
        <v>2604</v>
      </c>
      <c r="B2557" t="s">
        <v>2605</v>
      </c>
      <c r="C2557" t="s">
        <v>2606</v>
      </c>
      <c r="D2557" t="s">
        <v>61</v>
      </c>
      <c r="E2557" t="s">
        <v>133</v>
      </c>
      <c r="H2557" t="s">
        <v>6568</v>
      </c>
      <c r="K2557" t="s">
        <v>2607</v>
      </c>
      <c r="M2557" t="s">
        <v>282</v>
      </c>
      <c r="O2557" t="s">
        <v>161</v>
      </c>
      <c r="P2557">
        <v>4507056</v>
      </c>
    </row>
    <row r="2558" spans="1:19" x14ac:dyDescent="0.2">
      <c r="A2558" t="s">
        <v>2608</v>
      </c>
      <c r="B2558" t="s">
        <v>2609</v>
      </c>
      <c r="C2558" t="s">
        <v>2610</v>
      </c>
      <c r="D2558" t="s">
        <v>24</v>
      </c>
      <c r="E2558" t="s">
        <v>133</v>
      </c>
      <c r="H2558" t="s">
        <v>6568</v>
      </c>
      <c r="M2558" t="s">
        <v>282</v>
      </c>
      <c r="O2558" t="s">
        <v>161</v>
      </c>
      <c r="Q2558" t="s">
        <v>2611</v>
      </c>
      <c r="S2558" t="s">
        <v>2040</v>
      </c>
    </row>
    <row r="2559" spans="1:19" x14ac:dyDescent="0.2">
      <c r="A2559" t="s">
        <v>2612</v>
      </c>
      <c r="B2559" t="s">
        <v>2613</v>
      </c>
      <c r="C2559" t="s">
        <v>2614</v>
      </c>
      <c r="D2559" t="s">
        <v>61</v>
      </c>
      <c r="E2559" t="s">
        <v>133</v>
      </c>
      <c r="H2559" t="s">
        <v>6568</v>
      </c>
      <c r="K2559" t="s">
        <v>2615</v>
      </c>
      <c r="M2559" t="s">
        <v>282</v>
      </c>
      <c r="O2559" t="s">
        <v>161</v>
      </c>
      <c r="P2559">
        <v>4507036</v>
      </c>
    </row>
    <row r="2560" spans="1:19" x14ac:dyDescent="0.2">
      <c r="A2560" t="s">
        <v>2616</v>
      </c>
      <c r="B2560" t="s">
        <v>2617</v>
      </c>
      <c r="C2560" t="s">
        <v>2618</v>
      </c>
      <c r="D2560" t="s">
        <v>24</v>
      </c>
      <c r="E2560" t="s">
        <v>133</v>
      </c>
      <c r="H2560" t="s">
        <v>6568</v>
      </c>
      <c r="M2560" t="s">
        <v>282</v>
      </c>
      <c r="O2560" t="s">
        <v>161</v>
      </c>
      <c r="Q2560" t="s">
        <v>2619</v>
      </c>
      <c r="S2560" t="s">
        <v>2040</v>
      </c>
    </row>
    <row r="2561" spans="1:19" x14ac:dyDescent="0.2">
      <c r="A2561" t="s">
        <v>2620</v>
      </c>
      <c r="B2561" t="s">
        <v>2621</v>
      </c>
      <c r="C2561" t="s">
        <v>2622</v>
      </c>
      <c r="D2561" t="s">
        <v>61</v>
      </c>
      <c r="E2561" t="s">
        <v>133</v>
      </c>
      <c r="H2561" t="s">
        <v>6568</v>
      </c>
      <c r="K2561" t="s">
        <v>2623</v>
      </c>
      <c r="M2561" t="s">
        <v>282</v>
      </c>
      <c r="O2561" t="s">
        <v>161</v>
      </c>
    </row>
    <row r="2562" spans="1:19" x14ac:dyDescent="0.2">
      <c r="A2562" t="s">
        <v>2624</v>
      </c>
      <c r="B2562" t="s">
        <v>2625</v>
      </c>
      <c r="C2562" t="s">
        <v>2626</v>
      </c>
      <c r="D2562" t="s">
        <v>24</v>
      </c>
      <c r="E2562" t="s">
        <v>133</v>
      </c>
      <c r="H2562" t="s">
        <v>6568</v>
      </c>
      <c r="M2562" t="s">
        <v>282</v>
      </c>
      <c r="O2562" t="s">
        <v>161</v>
      </c>
      <c r="S2562" t="s">
        <v>2040</v>
      </c>
    </row>
    <row r="2563" spans="1:19" x14ac:dyDescent="0.2">
      <c r="A2563" t="s">
        <v>2627</v>
      </c>
      <c r="B2563" t="s">
        <v>2628</v>
      </c>
      <c r="C2563" t="s">
        <v>2629</v>
      </c>
      <c r="D2563" t="s">
        <v>24</v>
      </c>
      <c r="E2563" t="s">
        <v>133</v>
      </c>
      <c r="H2563" t="s">
        <v>6568</v>
      </c>
      <c r="M2563" t="s">
        <v>282</v>
      </c>
      <c r="O2563" t="s">
        <v>161</v>
      </c>
      <c r="S2563" t="s">
        <v>2040</v>
      </c>
    </row>
    <row r="2564" spans="1:19" x14ac:dyDescent="0.2">
      <c r="A2564" t="s">
        <v>2630</v>
      </c>
      <c r="B2564" t="s">
        <v>2631</v>
      </c>
      <c r="C2564" t="s">
        <v>2632</v>
      </c>
      <c r="D2564" t="s">
        <v>24</v>
      </c>
      <c r="E2564" t="s">
        <v>133</v>
      </c>
      <c r="H2564" t="s">
        <v>6568</v>
      </c>
      <c r="M2564" t="s">
        <v>282</v>
      </c>
      <c r="O2564" t="s">
        <v>161</v>
      </c>
      <c r="S2564" t="s">
        <v>2040</v>
      </c>
    </row>
    <row r="2565" spans="1:19" x14ac:dyDescent="0.2">
      <c r="A2565" t="s">
        <v>2633</v>
      </c>
      <c r="B2565" t="s">
        <v>2634</v>
      </c>
      <c r="C2565" t="s">
        <v>2635</v>
      </c>
      <c r="D2565" t="s">
        <v>24</v>
      </c>
      <c r="E2565" t="s">
        <v>133</v>
      </c>
      <c r="H2565" t="s">
        <v>6568</v>
      </c>
      <c r="M2565" t="s">
        <v>282</v>
      </c>
      <c r="O2565" t="s">
        <v>161</v>
      </c>
      <c r="S2565" t="s">
        <v>2040</v>
      </c>
    </row>
    <row r="2566" spans="1:19" x14ac:dyDescent="0.2">
      <c r="A2566" t="s">
        <v>2636</v>
      </c>
      <c r="B2566" t="s">
        <v>2637</v>
      </c>
      <c r="C2566" t="s">
        <v>2638</v>
      </c>
      <c r="D2566" t="s">
        <v>24</v>
      </c>
      <c r="E2566" t="s">
        <v>133</v>
      </c>
      <c r="H2566" t="s">
        <v>6568</v>
      </c>
      <c r="M2566" t="s">
        <v>282</v>
      </c>
      <c r="O2566" t="s">
        <v>161</v>
      </c>
      <c r="S2566" t="s">
        <v>2040</v>
      </c>
    </row>
    <row r="2567" spans="1:19" x14ac:dyDescent="0.2">
      <c r="A2567" t="s">
        <v>2639</v>
      </c>
      <c r="B2567" t="s">
        <v>2640</v>
      </c>
      <c r="C2567" t="s">
        <v>2641</v>
      </c>
      <c r="D2567" t="s">
        <v>14</v>
      </c>
      <c r="E2567" t="s">
        <v>133</v>
      </c>
      <c r="K2567" t="s">
        <v>2642</v>
      </c>
      <c r="M2567" t="s">
        <v>282</v>
      </c>
      <c r="O2567" t="s">
        <v>161</v>
      </c>
    </row>
    <row r="2568" spans="1:19" x14ac:dyDescent="0.2">
      <c r="A2568" t="s">
        <v>2643</v>
      </c>
      <c r="B2568" t="s">
        <v>2644</v>
      </c>
      <c r="C2568" t="s">
        <v>2645</v>
      </c>
      <c r="D2568" t="s">
        <v>24</v>
      </c>
      <c r="E2568" t="s">
        <v>133</v>
      </c>
      <c r="M2568" t="s">
        <v>137</v>
      </c>
      <c r="O2568" t="s">
        <v>161</v>
      </c>
      <c r="S2568" t="s">
        <v>2646</v>
      </c>
    </row>
    <row r="2569" spans="1:19" x14ac:dyDescent="0.2">
      <c r="A2569" t="s">
        <v>2647</v>
      </c>
      <c r="B2569" t="s">
        <v>2648</v>
      </c>
      <c r="C2569" t="s">
        <v>2649</v>
      </c>
      <c r="D2569" t="s">
        <v>14</v>
      </c>
      <c r="E2569" t="s">
        <v>133</v>
      </c>
      <c r="K2569" t="s">
        <v>2650</v>
      </c>
      <c r="M2569" t="s">
        <v>282</v>
      </c>
      <c r="O2569" t="s">
        <v>161</v>
      </c>
    </row>
    <row r="2570" spans="1:19" x14ac:dyDescent="0.2">
      <c r="A2570" t="s">
        <v>2651</v>
      </c>
      <c r="B2570" t="s">
        <v>2652</v>
      </c>
      <c r="C2570" t="s">
        <v>2653</v>
      </c>
      <c r="D2570" t="s">
        <v>14</v>
      </c>
      <c r="E2570" t="s">
        <v>133</v>
      </c>
      <c r="K2570" t="s">
        <v>2654</v>
      </c>
      <c r="M2570" t="s">
        <v>282</v>
      </c>
      <c r="O2570" t="s">
        <v>161</v>
      </c>
    </row>
    <row r="2571" spans="1:19" x14ac:dyDescent="0.2">
      <c r="A2571" t="s">
        <v>2655</v>
      </c>
      <c r="B2571" t="s">
        <v>2656</v>
      </c>
      <c r="C2571" t="s">
        <v>2657</v>
      </c>
      <c r="D2571" t="s">
        <v>24</v>
      </c>
      <c r="E2571" t="s">
        <v>133</v>
      </c>
      <c r="M2571" t="s">
        <v>282</v>
      </c>
      <c r="O2571" t="s">
        <v>161</v>
      </c>
      <c r="S2571" t="s">
        <v>2646</v>
      </c>
    </row>
    <row r="2572" spans="1:19" x14ac:dyDescent="0.2">
      <c r="A2572" t="s">
        <v>2658</v>
      </c>
      <c r="B2572" t="s">
        <v>2659</v>
      </c>
      <c r="C2572" t="s">
        <v>2660</v>
      </c>
      <c r="D2572" t="s">
        <v>14</v>
      </c>
      <c r="E2572" t="s">
        <v>133</v>
      </c>
      <c r="K2572" t="s">
        <v>2661</v>
      </c>
      <c r="M2572" t="s">
        <v>282</v>
      </c>
      <c r="O2572" t="s">
        <v>150</v>
      </c>
    </row>
    <row r="2573" spans="1:19" x14ac:dyDescent="0.2">
      <c r="A2573" t="s">
        <v>2662</v>
      </c>
      <c r="B2573" t="s">
        <v>2663</v>
      </c>
      <c r="C2573" t="s">
        <v>2664</v>
      </c>
      <c r="D2573" t="s">
        <v>24</v>
      </c>
      <c r="E2573" t="s">
        <v>133</v>
      </c>
      <c r="M2573" t="s">
        <v>282</v>
      </c>
      <c r="O2573" t="s">
        <v>150</v>
      </c>
      <c r="S2573" t="s">
        <v>2646</v>
      </c>
    </row>
    <row r="2574" spans="1:19" x14ac:dyDescent="0.2">
      <c r="A2574" t="s">
        <v>2665</v>
      </c>
      <c r="B2574" t="s">
        <v>2666</v>
      </c>
      <c r="C2574" t="s">
        <v>2667</v>
      </c>
      <c r="D2574" t="s">
        <v>14</v>
      </c>
      <c r="E2574" t="s">
        <v>133</v>
      </c>
      <c r="K2574" t="s">
        <v>2668</v>
      </c>
      <c r="M2574" t="s">
        <v>282</v>
      </c>
      <c r="O2574" t="s">
        <v>150</v>
      </c>
    </row>
    <row r="2575" spans="1:19" x14ac:dyDescent="0.2">
      <c r="A2575" t="s">
        <v>2669</v>
      </c>
      <c r="B2575" t="s">
        <v>2670</v>
      </c>
      <c r="C2575" t="s">
        <v>2671</v>
      </c>
      <c r="D2575" t="s">
        <v>24</v>
      </c>
      <c r="E2575" t="s">
        <v>133</v>
      </c>
      <c r="M2575" t="s">
        <v>282</v>
      </c>
      <c r="O2575" t="s">
        <v>150</v>
      </c>
      <c r="S2575" t="s">
        <v>2646</v>
      </c>
    </row>
    <row r="2576" spans="1:19" x14ac:dyDescent="0.2">
      <c r="A2576" t="s">
        <v>2672</v>
      </c>
      <c r="B2576" t="s">
        <v>2673</v>
      </c>
      <c r="C2576" t="s">
        <v>2674</v>
      </c>
      <c r="D2576" t="s">
        <v>24</v>
      </c>
      <c r="E2576" t="s">
        <v>133</v>
      </c>
      <c r="M2576" t="s">
        <v>282</v>
      </c>
      <c r="O2576" t="s">
        <v>150</v>
      </c>
      <c r="S2576" t="s">
        <v>2646</v>
      </c>
    </row>
    <row r="2577" spans="1:20" x14ac:dyDescent="0.2">
      <c r="A2577" t="s">
        <v>2675</v>
      </c>
      <c r="B2577" t="s">
        <v>2676</v>
      </c>
      <c r="C2577" t="s">
        <v>2677</v>
      </c>
      <c r="D2577" t="s">
        <v>14</v>
      </c>
      <c r="E2577" t="s">
        <v>133</v>
      </c>
      <c r="K2577" t="s">
        <v>2678</v>
      </c>
      <c r="M2577" t="s">
        <v>282</v>
      </c>
      <c r="O2577" t="s">
        <v>161</v>
      </c>
    </row>
    <row r="2578" spans="1:20" x14ac:dyDescent="0.2">
      <c r="A2578" t="s">
        <v>2679</v>
      </c>
      <c r="B2578" t="s">
        <v>2680</v>
      </c>
      <c r="C2578" t="s">
        <v>2681</v>
      </c>
      <c r="D2578" t="s">
        <v>24</v>
      </c>
      <c r="E2578" t="s">
        <v>133</v>
      </c>
      <c r="M2578" t="s">
        <v>282</v>
      </c>
      <c r="O2578" t="s">
        <v>161</v>
      </c>
      <c r="S2578" t="s">
        <v>2646</v>
      </c>
    </row>
    <row r="2579" spans="1:20" x14ac:dyDescent="0.2">
      <c r="A2579" t="s">
        <v>2682</v>
      </c>
      <c r="B2579" t="s">
        <v>2683</v>
      </c>
      <c r="C2579" t="s">
        <v>2684</v>
      </c>
      <c r="D2579" t="s">
        <v>14</v>
      </c>
      <c r="E2579" t="s">
        <v>133</v>
      </c>
      <c r="K2579" t="s">
        <v>2685</v>
      </c>
      <c r="M2579" t="s">
        <v>282</v>
      </c>
      <c r="O2579" t="s">
        <v>150</v>
      </c>
    </row>
    <row r="2580" spans="1:20" x14ac:dyDescent="0.2">
      <c r="A2580" t="s">
        <v>2686</v>
      </c>
      <c r="B2580" t="s">
        <v>2687</v>
      </c>
      <c r="C2580" t="s">
        <v>2688</v>
      </c>
      <c r="D2580" t="s">
        <v>24</v>
      </c>
      <c r="E2580" t="s">
        <v>133</v>
      </c>
      <c r="M2580" t="s">
        <v>282</v>
      </c>
      <c r="O2580" t="s">
        <v>150</v>
      </c>
      <c r="S2580" t="s">
        <v>2646</v>
      </c>
    </row>
    <row r="2581" spans="1:20" x14ac:dyDescent="0.2">
      <c r="A2581" t="s">
        <v>2689</v>
      </c>
      <c r="B2581" t="s">
        <v>2690</v>
      </c>
      <c r="C2581" t="s">
        <v>2691</v>
      </c>
      <c r="D2581" t="s">
        <v>14</v>
      </c>
      <c r="E2581" t="s">
        <v>133</v>
      </c>
      <c r="K2581" t="s">
        <v>2692</v>
      </c>
      <c r="M2581" t="s">
        <v>282</v>
      </c>
      <c r="O2581" t="s">
        <v>150</v>
      </c>
    </row>
    <row r="2582" spans="1:20" x14ac:dyDescent="0.2">
      <c r="A2582" t="s">
        <v>2693</v>
      </c>
      <c r="B2582" t="s">
        <v>2694</v>
      </c>
      <c r="C2582" t="s">
        <v>2695</v>
      </c>
      <c r="D2582" t="s">
        <v>24</v>
      </c>
      <c r="E2582" t="s">
        <v>133</v>
      </c>
      <c r="M2582" t="s">
        <v>282</v>
      </c>
      <c r="O2582" t="s">
        <v>150</v>
      </c>
      <c r="S2582" t="s">
        <v>2646</v>
      </c>
    </row>
    <row r="2583" spans="1:20" x14ac:dyDescent="0.2">
      <c r="A2583" t="s">
        <v>2696</v>
      </c>
      <c r="B2583" t="s">
        <v>2697</v>
      </c>
      <c r="C2583" t="s">
        <v>2698</v>
      </c>
      <c r="D2583" t="s">
        <v>24</v>
      </c>
      <c r="E2583" t="s">
        <v>133</v>
      </c>
      <c r="M2583" t="s">
        <v>282</v>
      </c>
      <c r="O2583" t="s">
        <v>150</v>
      </c>
      <c r="S2583" t="s">
        <v>2646</v>
      </c>
    </row>
    <row r="2584" spans="1:20" x14ac:dyDescent="0.2">
      <c r="A2584" t="s">
        <v>2699</v>
      </c>
      <c r="B2584" t="s">
        <v>2700</v>
      </c>
      <c r="C2584" t="s">
        <v>2701</v>
      </c>
      <c r="D2584" t="s">
        <v>24</v>
      </c>
      <c r="E2584" t="s">
        <v>133</v>
      </c>
      <c r="M2584" t="s">
        <v>282</v>
      </c>
      <c r="O2584" t="s">
        <v>161</v>
      </c>
      <c r="S2584" t="s">
        <v>2646</v>
      </c>
    </row>
    <row r="2585" spans="1:20" x14ac:dyDescent="0.2">
      <c r="A2585" t="s">
        <v>2702</v>
      </c>
      <c r="B2585" t="s">
        <v>2703</v>
      </c>
      <c r="C2585" t="s">
        <v>2704</v>
      </c>
      <c r="D2585" t="s">
        <v>35</v>
      </c>
      <c r="E2585" t="s">
        <v>133</v>
      </c>
      <c r="F2585" t="s">
        <v>133</v>
      </c>
      <c r="G2585" t="s">
        <v>1728</v>
      </c>
      <c r="M2585" t="s">
        <v>776</v>
      </c>
      <c r="O2585" t="s">
        <v>161</v>
      </c>
      <c r="Q2585" t="s">
        <v>281</v>
      </c>
      <c r="T2585" t="s">
        <v>265</v>
      </c>
    </row>
    <row r="2586" spans="1:20" x14ac:dyDescent="0.2">
      <c r="A2586" t="s">
        <v>73</v>
      </c>
      <c r="B2586" t="s">
        <v>74</v>
      </c>
      <c r="C2586" t="s">
        <v>75</v>
      </c>
      <c r="D2586" t="s">
        <v>24</v>
      </c>
      <c r="E2586" t="s">
        <v>505</v>
      </c>
      <c r="F2586" t="s">
        <v>133</v>
      </c>
      <c r="G2586" t="s">
        <v>133</v>
      </c>
      <c r="O2586" t="s">
        <v>161</v>
      </c>
      <c r="S2586" t="s">
        <v>6546</v>
      </c>
      <c r="T2586" t="s">
        <v>265</v>
      </c>
    </row>
    <row r="2587" spans="1:20" x14ac:dyDescent="0.2">
      <c r="A2587" t="s">
        <v>90</v>
      </c>
      <c r="B2587" t="s">
        <v>91</v>
      </c>
      <c r="C2587" t="s">
        <v>92</v>
      </c>
      <c r="D2587" t="s">
        <v>24</v>
      </c>
      <c r="E2587" t="s">
        <v>505</v>
      </c>
      <c r="F2587" t="s">
        <v>133</v>
      </c>
      <c r="G2587" t="s">
        <v>133</v>
      </c>
      <c r="O2587" t="s">
        <v>161</v>
      </c>
      <c r="S2587" t="s">
        <v>6546</v>
      </c>
      <c r="T2587" t="s">
        <v>265</v>
      </c>
    </row>
    <row r="2588" spans="1:20" x14ac:dyDescent="0.2">
      <c r="A2588" t="s">
        <v>39</v>
      </c>
      <c r="B2588" t="s">
        <v>40</v>
      </c>
      <c r="C2588" t="s">
        <v>41</v>
      </c>
      <c r="D2588" t="s">
        <v>14</v>
      </c>
      <c r="E2588" t="s">
        <v>133</v>
      </c>
      <c r="F2588" t="s">
        <v>133</v>
      </c>
      <c r="G2588" t="s">
        <v>133</v>
      </c>
      <c r="K2588" t="s">
        <v>42</v>
      </c>
      <c r="O2588" t="s">
        <v>161</v>
      </c>
    </row>
    <row r="2589" spans="1:20" x14ac:dyDescent="0.2">
      <c r="A2589" t="s">
        <v>11</v>
      </c>
      <c r="B2589" t="s">
        <v>12</v>
      </c>
      <c r="C2589" t="s">
        <v>13</v>
      </c>
      <c r="D2589" t="s">
        <v>14</v>
      </c>
      <c r="E2589" t="s">
        <v>133</v>
      </c>
      <c r="F2589" t="s">
        <v>133</v>
      </c>
      <c r="G2589" t="s">
        <v>133</v>
      </c>
      <c r="K2589" t="s">
        <v>15</v>
      </c>
      <c r="L2589" t="s">
        <v>135</v>
      </c>
      <c r="O2589" t="s">
        <v>161</v>
      </c>
    </row>
    <row r="2590" spans="1:20" x14ac:dyDescent="0.2">
      <c r="A2590" t="s">
        <v>66</v>
      </c>
      <c r="B2590" t="s">
        <v>67</v>
      </c>
      <c r="C2590" t="s">
        <v>68</v>
      </c>
      <c r="D2590" t="s">
        <v>35</v>
      </c>
      <c r="E2590" t="s">
        <v>133</v>
      </c>
      <c r="F2590" t="s">
        <v>2705</v>
      </c>
      <c r="G2590" t="s">
        <v>133</v>
      </c>
      <c r="M2590" t="s">
        <v>282</v>
      </c>
      <c r="O2590" t="s">
        <v>161</v>
      </c>
      <c r="S2590" t="s">
        <v>6546</v>
      </c>
      <c r="T2590" t="s">
        <v>265</v>
      </c>
    </row>
    <row r="2591" spans="1:20" x14ac:dyDescent="0.2">
      <c r="A2591" t="s">
        <v>17</v>
      </c>
      <c r="B2591" t="s">
        <v>18</v>
      </c>
      <c r="C2591" t="s">
        <v>19</v>
      </c>
      <c r="D2591" t="s">
        <v>14</v>
      </c>
      <c r="E2591" t="s">
        <v>133</v>
      </c>
      <c r="F2591" t="s">
        <v>133</v>
      </c>
      <c r="G2591" t="s">
        <v>133</v>
      </c>
      <c r="K2591" t="s">
        <v>6569</v>
      </c>
      <c r="O2591" t="s">
        <v>161</v>
      </c>
    </row>
    <row r="2592" spans="1:20" x14ac:dyDescent="0.2">
      <c r="A2592" t="s">
        <v>6570</v>
      </c>
      <c r="B2592" t="s">
        <v>6571</v>
      </c>
      <c r="C2592" t="s">
        <v>6572</v>
      </c>
      <c r="D2592" t="s">
        <v>61</v>
      </c>
      <c r="E2592" t="s">
        <v>133</v>
      </c>
      <c r="F2592" t="s">
        <v>1717</v>
      </c>
      <c r="G2592" t="s">
        <v>6547</v>
      </c>
      <c r="K2592" t="s">
        <v>260</v>
      </c>
      <c r="L2592" t="s">
        <v>160</v>
      </c>
      <c r="M2592" t="s">
        <v>261</v>
      </c>
      <c r="O2592" t="s">
        <v>161</v>
      </c>
    </row>
    <row r="2593" spans="1:20" x14ac:dyDescent="0.2">
      <c r="A2593" t="s">
        <v>6573</v>
      </c>
      <c r="B2593" t="s">
        <v>6574</v>
      </c>
      <c r="C2593" t="s">
        <v>6575</v>
      </c>
      <c r="D2593" t="s">
        <v>61</v>
      </c>
      <c r="E2593" t="s">
        <v>255</v>
      </c>
      <c r="F2593" t="s">
        <v>133</v>
      </c>
      <c r="G2593" t="s">
        <v>133</v>
      </c>
      <c r="K2593" t="s">
        <v>6576</v>
      </c>
      <c r="M2593" t="s">
        <v>137</v>
      </c>
      <c r="O2593" t="s">
        <v>161</v>
      </c>
    </row>
    <row r="2594" spans="1:20" x14ac:dyDescent="0.2">
      <c r="A2594" t="s">
        <v>6573</v>
      </c>
      <c r="B2594" t="s">
        <v>6574</v>
      </c>
      <c r="C2594" t="s">
        <v>6575</v>
      </c>
      <c r="D2594" t="s">
        <v>35</v>
      </c>
      <c r="E2594" t="s">
        <v>505</v>
      </c>
      <c r="F2594" t="s">
        <v>133</v>
      </c>
      <c r="G2594" t="s">
        <v>133</v>
      </c>
      <c r="M2594" t="s">
        <v>137</v>
      </c>
      <c r="O2594" t="s">
        <v>161</v>
      </c>
      <c r="S2594" t="s">
        <v>6546</v>
      </c>
      <c r="T2594" t="s">
        <v>265</v>
      </c>
    </row>
    <row r="2595" spans="1:20" x14ac:dyDescent="0.2">
      <c r="A2595" t="s">
        <v>25</v>
      </c>
      <c r="B2595" t="s">
        <v>26</v>
      </c>
      <c r="C2595" t="s">
        <v>26</v>
      </c>
      <c r="D2595" t="s">
        <v>14</v>
      </c>
      <c r="E2595" t="s">
        <v>133</v>
      </c>
      <c r="F2595" t="s">
        <v>133</v>
      </c>
      <c r="G2595" t="s">
        <v>133</v>
      </c>
      <c r="K2595" t="s">
        <v>6577</v>
      </c>
      <c r="L2595" t="s">
        <v>135</v>
      </c>
      <c r="O2595" t="s">
        <v>161</v>
      </c>
    </row>
    <row r="2596" spans="1:20" x14ac:dyDescent="0.2">
      <c r="A2596" t="s">
        <v>6578</v>
      </c>
      <c r="B2596" t="s">
        <v>6579</v>
      </c>
      <c r="C2596" t="s">
        <v>6580</v>
      </c>
      <c r="D2596" t="s">
        <v>14</v>
      </c>
      <c r="E2596" t="s">
        <v>133</v>
      </c>
      <c r="F2596" t="s">
        <v>133</v>
      </c>
      <c r="G2596" t="s">
        <v>133</v>
      </c>
      <c r="K2596" t="s">
        <v>6581</v>
      </c>
      <c r="O2596" t="s">
        <v>161</v>
      </c>
    </row>
    <row r="2597" spans="1:20" x14ac:dyDescent="0.2">
      <c r="A2597" t="s">
        <v>6582</v>
      </c>
      <c r="B2597" t="s">
        <v>6583</v>
      </c>
      <c r="C2597" t="s">
        <v>6584</v>
      </c>
      <c r="D2597" t="s">
        <v>61</v>
      </c>
      <c r="E2597" t="s">
        <v>133</v>
      </c>
      <c r="F2597" t="s">
        <v>133</v>
      </c>
      <c r="G2597" t="s">
        <v>133</v>
      </c>
      <c r="K2597" t="s">
        <v>277</v>
      </c>
      <c r="L2597" t="s">
        <v>160</v>
      </c>
      <c r="M2597" t="s">
        <v>261</v>
      </c>
      <c r="O2597" t="s">
        <v>161</v>
      </c>
    </row>
    <row r="2598" spans="1:20" x14ac:dyDescent="0.2">
      <c r="A2598" t="s">
        <v>6585</v>
      </c>
      <c r="B2598" t="s">
        <v>6586</v>
      </c>
      <c r="C2598" t="s">
        <v>6587</v>
      </c>
      <c r="D2598" t="s">
        <v>61</v>
      </c>
      <c r="E2598" t="s">
        <v>255</v>
      </c>
      <c r="F2598" t="s">
        <v>133</v>
      </c>
      <c r="G2598" t="s">
        <v>133</v>
      </c>
      <c r="K2598" t="s">
        <v>6588</v>
      </c>
      <c r="L2598" t="s">
        <v>135</v>
      </c>
      <c r="O2598" t="s">
        <v>161</v>
      </c>
    </row>
    <row r="2599" spans="1:20" x14ac:dyDescent="0.2">
      <c r="A2599" t="s">
        <v>6585</v>
      </c>
      <c r="B2599" t="s">
        <v>6586</v>
      </c>
      <c r="C2599" t="s">
        <v>6587</v>
      </c>
      <c r="D2599" t="s">
        <v>35</v>
      </c>
      <c r="E2599" t="s">
        <v>505</v>
      </c>
      <c r="F2599" t="s">
        <v>133</v>
      </c>
      <c r="G2599" t="s">
        <v>133</v>
      </c>
      <c r="O2599" t="s">
        <v>161</v>
      </c>
      <c r="S2599" t="s">
        <v>6546</v>
      </c>
      <c r="T2599" t="s">
        <v>265</v>
      </c>
    </row>
    <row r="2600" spans="1:20" x14ac:dyDescent="0.2">
      <c r="A2600" t="s">
        <v>6589</v>
      </c>
      <c r="B2600" t="s">
        <v>6590</v>
      </c>
      <c r="C2600" t="s">
        <v>6591</v>
      </c>
      <c r="D2600" t="s">
        <v>61</v>
      </c>
      <c r="E2600" t="s">
        <v>133</v>
      </c>
      <c r="F2600" t="s">
        <v>133</v>
      </c>
      <c r="G2600" t="s">
        <v>133</v>
      </c>
      <c r="K2600" t="s">
        <v>6550</v>
      </c>
      <c r="O2600" t="s">
        <v>161</v>
      </c>
    </row>
    <row r="2601" spans="1:20" x14ac:dyDescent="0.2">
      <c r="A2601" t="s">
        <v>2706</v>
      </c>
      <c r="B2601" t="s">
        <v>2707</v>
      </c>
      <c r="C2601" t="s">
        <v>2708</v>
      </c>
      <c r="D2601" t="s">
        <v>14</v>
      </c>
      <c r="E2601" t="s">
        <v>133</v>
      </c>
      <c r="F2601" t="s">
        <v>133</v>
      </c>
      <c r="G2601" t="s">
        <v>133</v>
      </c>
      <c r="K2601" t="s">
        <v>2709</v>
      </c>
      <c r="L2601" t="s">
        <v>135</v>
      </c>
      <c r="M2601" t="s">
        <v>137</v>
      </c>
      <c r="N2601">
        <v>2</v>
      </c>
      <c r="O2601" t="s">
        <v>161</v>
      </c>
      <c r="P2601" t="s">
        <v>243</v>
      </c>
    </row>
    <row r="2602" spans="1:20" x14ac:dyDescent="0.2">
      <c r="A2602" t="s">
        <v>2710</v>
      </c>
      <c r="B2602" t="s">
        <v>2711</v>
      </c>
      <c r="C2602" t="s">
        <v>2712</v>
      </c>
      <c r="D2602" t="s">
        <v>61</v>
      </c>
      <c r="E2602" t="s">
        <v>133</v>
      </c>
      <c r="F2602" t="s">
        <v>133</v>
      </c>
      <c r="G2602" t="s">
        <v>133</v>
      </c>
      <c r="K2602" t="s">
        <v>2713</v>
      </c>
      <c r="L2602" t="s">
        <v>135</v>
      </c>
      <c r="M2602" t="s">
        <v>137</v>
      </c>
      <c r="O2602" t="s">
        <v>161</v>
      </c>
      <c r="P2602">
        <v>410100</v>
      </c>
    </row>
    <row r="2603" spans="1:20" x14ac:dyDescent="0.2">
      <c r="A2603" t="s">
        <v>2714</v>
      </c>
      <c r="B2603" t="s">
        <v>6592</v>
      </c>
      <c r="C2603" t="s">
        <v>2716</v>
      </c>
      <c r="D2603" t="s">
        <v>14</v>
      </c>
      <c r="E2603" t="s">
        <v>133</v>
      </c>
      <c r="F2603" t="s">
        <v>2717</v>
      </c>
      <c r="G2603" t="s">
        <v>133</v>
      </c>
      <c r="K2603" t="s">
        <v>6569</v>
      </c>
      <c r="O2603" t="s">
        <v>161</v>
      </c>
    </row>
  </sheetData>
  <pageMargins left="0.7" right="0.7" top="0.75" bottom="0.75" header="0.3" footer="0.3"/>
  <ignoredErrors>
    <ignoredError sqref="A1:T26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 Validation</vt:lpstr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Govindasamy</dc:creator>
  <cp:lastModifiedBy>Santhoshkumar Govindasamy</cp:lastModifiedBy>
  <dcterms:created xsi:type="dcterms:W3CDTF">2024-10-24T07:27:02Z</dcterms:created>
  <dcterms:modified xsi:type="dcterms:W3CDTF">2025-06-05T14:48:38Z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etDate">
    <vt:lpwstr>2025-05-15T05:52:34Z</vt:lpwstr>
  </property>
  <property fmtid="{D5CDD505-2E9C-101B-9397-08002B2CF9AE}" pid="4" name="MSIP_Label_b24820e8-223f-4ed2-bd95-81c83f641284_Method">
    <vt:lpwstr>Standard</vt:lpwstr>
  </property>
  <property fmtid="{D5CDD505-2E9C-101B-9397-08002B2CF9AE}" pid="5" name="MSIP_Label_b24820e8-223f-4ed2-bd95-81c83f641284_Name">
    <vt:lpwstr>b24820e8-223f-4ed2-bd95-81c83f641284</vt:lpwstr>
  </property>
  <property fmtid="{D5CDD505-2E9C-101B-9397-08002B2CF9AE}" pid="6" name="MSIP_Label_b24820e8-223f-4ed2-bd95-81c83f641284_SiteId">
    <vt:lpwstr>3cbcc3d3-094d-4006-9849-0d11d61f484d</vt:lpwstr>
  </property>
  <property fmtid="{D5CDD505-2E9C-101B-9397-08002B2CF9AE}" pid="7" name="MSIP_Label_b24820e8-223f-4ed2-bd95-81c83f641284_ActionId">
    <vt:lpwstr>57933bc0-8eeb-4c0d-b833-5e312e87dbb8</vt:lpwstr>
  </property>
  <property fmtid="{D5CDD505-2E9C-101B-9397-08002B2CF9AE}" pid="8" name="MSIP_Label_b24820e8-223f-4ed2-bd95-81c83f641284_ContentBits">
    <vt:lpwstr>0</vt:lpwstr>
  </property>
  <property fmtid="{D5CDD505-2E9C-101B-9397-08002B2CF9AE}" pid="9" name="MSIP_Label_b24820e8-223f-4ed2-bd95-81c83f641284_Tag">
    <vt:lpwstr>50, 3, 0, 1</vt:lpwstr>
  </property>
</Properties>
</file>